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6" windowHeight="9288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B210" i="1"/>
  <c r="N209"/>
  <c r="S209"/>
  <c r="T209"/>
  <c r="R209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"/>
  <c r="S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"/>
  <c r="P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"/>
  <c r="P209" s="1"/>
  <c r="Q209"/>
  <c r="O209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"/>
  <c r="O2" s="1"/>
  <c r="M209" l="1"/>
</calcChain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7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8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9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0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1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2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3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4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5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6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7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8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9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0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1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2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3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4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25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6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7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8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9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0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6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<sst xmlns="http://schemas.openxmlformats.org/spreadsheetml/2006/main" count="240" uniqueCount="238">
  <si>
    <t>Date Time,Temp 1,Temp 2,Temp 3,Hum 1,Hum 2,Hum 3,Light 1,Light 2,Light 3</t>
  </si>
  <si>
    <t>10/09/18 22:07:01,17.7,17.9,17.6,0.746,0.725,0.719,100000,100000,100000</t>
  </si>
  <si>
    <t>10/09/18 22:20:55,17.7,17.8,17.6,0.746,0.727,0.719,100000,100000,100000</t>
  </si>
  <si>
    <t>10/09/18 22:33:38,17.5,17.6,17.4,0.748,0.732,0.721,100000,100000,100000</t>
  </si>
  <si>
    <t>10/09/18 22:46:21,17.4,17.5,17.4,0.749,0.733,0.721,100000,100000,100000</t>
  </si>
  <si>
    <t>10/09/18 22:59:06,17.4,17.4,17.3,0.75,0.734,0.722,100000,100000,100000</t>
  </si>
  <si>
    <t>10/09/18 23:11:49,17.3,17.4,17.3,0.75,0.735,0.722,100000,100000,100000</t>
  </si>
  <si>
    <t>10/09/18 23:24:31,17.3,17.3,17.2,0.75,0.735,0.721,100000,100000,100000</t>
  </si>
  <si>
    <t>10/09/18 23:37:14,17.2,17.3,17.2,0.751,0.736,0.722,100000,100000,100000</t>
  </si>
  <si>
    <t>10/09/18 23:49:57,17.2,17.2,17.1,0.75,0.736,0.722,100000,100000,100000</t>
  </si>
  <si>
    <t>10/10/18 00:02:42,17.2,17.2,17.1,0.751,0.736,0.722,100000,100000,100000</t>
  </si>
  <si>
    <t>10/10/18 00:15:25,17.2,17.2,17.1,0.751,0.736,0.722,100000,100000,100000</t>
  </si>
  <si>
    <t>10/10/18 00:28:08,17.1,17.2,17.1,0.75,0.736,0.721,100000,100000,100000</t>
  </si>
  <si>
    <t>10/10/18 00:40:50,17.1,17.1,17.1,0.75,0.736,0.721,100000,100000,100000</t>
  </si>
  <si>
    <t>10/10/18 00:53:36,17.1,17.1,17.0,0.75,0.736,0.721,100000,100000,100000</t>
  </si>
  <si>
    <t>10/10/18 01:06:19,17.1,17.1,17.0,0.75,0.736,0.721,100000,100000,100000</t>
  </si>
  <si>
    <t>10/10/18 01:19:01,17.0,17.1,17.0,0.749,0.736,0.721,100000,100000,100000</t>
  </si>
  <si>
    <t>10/10/18 01:31:44,17.0,17.1,17.0,0.748,0.735,0.72,100000,100000,100000</t>
  </si>
  <si>
    <t>10/10/18 01:57:15,17.0,17.1,17.0,0.748,0.734,0.72,100000,100000,100000</t>
  </si>
  <si>
    <t>10/10/18 02:09:57,17.0,17.0,17.0,0.748,0.734,0.72,100000,100000,100000</t>
  </si>
  <si>
    <t>10/10/18 02:35:25,17.0,17.0,16.9,0.748,0.733,0.719,100000,100000,100000</t>
  </si>
  <si>
    <t>10/10/18 02:48:08,17.0,17.0,16.9,0.747,0.733,0.719,100000,100000,100000</t>
  </si>
  <si>
    <t>10/10/18 03:00:51,17.0,17.0,16.9,0.747,0.733,0.719,100000,100000,100000</t>
  </si>
  <si>
    <t>10/10/18 03:13:34,17.0,17.0,16.9,0.747,0.733,0.719,100000,100000,100000</t>
  </si>
  <si>
    <t>10/10/18 03:26:17,16.9,17.0,16.9,0.747,0.733,0.718,100000,100000,100000</t>
  </si>
  <si>
    <t>10/10/18 03:38:59,16.9,17.0,16.9,0.747,0.733,0.718,100000,100000,100000</t>
  </si>
  <si>
    <t>10/10/18 03:51:42,16.9,17.0,16.9,0.746,0.733,0.718,100000,100000,100000</t>
  </si>
  <si>
    <t>10/10/18 04:04:25,16.9,17.0,16.9,0.747,0.734,0.719,100000,100000,100000</t>
  </si>
  <si>
    <t>10/10/18 04:17:07,17.0,17.0,16.9,0.747,0.733,0.719,100000,100000,100000</t>
  </si>
  <si>
    <t>10/10/18 04:29:50,17.0,17.0,16.9,0.747,0.733,0.719,100000,100000,100000</t>
  </si>
  <si>
    <t>10/10/18 04:42:33,17.0,17.0,16.9,0.746,0.732,0.717,100000,100000,100000</t>
  </si>
  <si>
    <t>10/10/18 04:55:16,17.0,17.0,16.9,0.746,0.732,0.717,100000,100000,100000</t>
  </si>
  <si>
    <t>10/10/18 05:07:59,17.0,17.0,16.9,0.746,0.732,0.717,100000,100000,100000</t>
  </si>
  <si>
    <t>10/10/18 05:20:41,17.0,17.0,16.9,0.746,0.731,0.717,100000,100000,100000</t>
  </si>
  <si>
    <t>10/10/18 05:33:27,17.0,17.0,16.9,0.746,0.731,0.716,100000,100000,100000</t>
  </si>
  <si>
    <t>10/10/18 05:46:10,17.0,17.0,16.9,0.746,0.731,0.716,100000,100000,100000</t>
  </si>
  <si>
    <t>10/10/18 05:58:55,17.0,17.0,16.9,0.746,0.731,0.716,100000,100000,100000</t>
  </si>
  <si>
    <t>10/10/18 06:11:38,17.0,17.0,16.9,0.746,0.731,0.716,100000,100000,100000</t>
  </si>
  <si>
    <t>10/10/18 06:24:20,17.0,17.0,16.9,0.746,0.731,0.717,100000,100000,100000</t>
  </si>
  <si>
    <t>10/10/18 06:37:06,16.9,17.0,16.9,0.744,0.73,0.714,100000,100000,100000</t>
  </si>
  <si>
    <t>10/10/18 06:49:48,17.0,17.0,16.9,0.745,0.732,0.718,100000,100000,100000</t>
  </si>
  <si>
    <t>10/10/18 07:02:31,16.9,17.0,16.9,0.747,0.733,0.718,95277,72438,100000</t>
  </si>
  <si>
    <t>10/10/18 07:15:12,16.9,17.0,16.9,0.751,0.738,0.724,24862,16540,27345</t>
  </si>
  <si>
    <t>10/10/18 07:27:52,17.0,17.0,16.9,0.759,0.746,0.731,7532,6222,8212</t>
  </si>
  <si>
    <t>10/10/18 07:40:33,17.0,17.0,16.9,0.765,0.752,0.737,4067,3469,4273</t>
  </si>
  <si>
    <t>10/10/18 07:53:13,17.0,17.0,16.9,0.766,0.752,0.738,2474,2161,2506</t>
  </si>
  <si>
    <t>10/10/18 08:05:56,17.0,17.0,16.9,0.765,0.75,0.736,1638,1472,1636</t>
  </si>
  <si>
    <t>10/10/18 08:18:36,17.0,17.0,16.9,0.763,0.749,0.734,967,902,972</t>
  </si>
  <si>
    <t>10/10/18 08:31:19,17.1,17.1,17.0,0.775,0.758,0.744,590,581,613</t>
  </si>
  <si>
    <t>10/10/18 08:43:59,17.2,17.2,17.1,0.776,0.763,0.749,418,451,454</t>
  </si>
  <si>
    <t>10/10/18 08:56:39,17.3,17.3,17.2,0.77,0.756,0.742,363,404,414</t>
  </si>
  <si>
    <t>10/10/18 09:09:20,17.4,17.4,17.3,0.762,0.746,0.734,320,375,380</t>
  </si>
  <si>
    <t>10/10/18 09:22:00,17.4,17.5,17.4,0.756,0.741,0.729,342,352,368</t>
  </si>
  <si>
    <t>10/10/18 09:34:43,17.5,17.5,17.4,0.738,0.722,0.71,241,303,324</t>
  </si>
  <si>
    <t>10/10/18 09:47:23,17.5,17.5,17.4,0.712,0.697,0.684,167,145,156</t>
  </si>
  <si>
    <t>10/10/18 10:00:06,17.5,18.0,17.5,0.693,0.66,0.659,407,282,339</t>
  </si>
  <si>
    <t>10/10/18 10:12:46,17.4,17.8,17.6,0.683,0.655,0.647,496,440,468</t>
  </si>
  <si>
    <t>10/10/18 10:25:26,17.4,17.6,17.4,0.677,0.655,0.643,397,430,479</t>
  </si>
  <si>
    <t>10/10/18 10:38:06,17.4,17.6,17.6,0.674,0.652,0.633,510,453,487</t>
  </si>
  <si>
    <t>10/10/18 10:50:46,17.4,17.5,17.5,0.664,0.646,0.627,571,504,551</t>
  </si>
  <si>
    <t>10/10/18 11:03:27,17.3,17.4,17.3,0.66,0.642,0.625,258,405,502</t>
  </si>
  <si>
    <t>10/10/18 11:16:07,17.4,17.4,17.3,0.66,0.644,0.626,564,500,537</t>
  </si>
  <si>
    <t>10/10/18 11:28:47,17.3,17.4,17.3,0.652,0.635,0.618,603,550,600</t>
  </si>
  <si>
    <t>10/10/18 11:41:27,17.3,17.4,17.3,0.645,0.628,0.611,615,542,523</t>
  </si>
  <si>
    <t>10/10/18 11:54:07,17.4,17.5,17.4,0.642,0.625,0.607,594,539,581</t>
  </si>
  <si>
    <t>10/10/18 12:06:48,17.4,17.4,17.4,0.636,0.619,0.601,545,506,549</t>
  </si>
  <si>
    <t>10/10/18 12:19:28,17.4,17.4,17.3,0.627,0.611,0.595,513,472,385</t>
  </si>
  <si>
    <t>10/10/18 12:32:08,17.6,17.5,17.5,0.611,0.603,0.587,547,509,544</t>
  </si>
  <si>
    <t>10/10/18 12:44:48,17.8,17.6,17.8,0.599,0.597,0.574,536,501,541</t>
  </si>
  <si>
    <t>10/10/18 12:57:28,17.7,17.6,17.7,0.602,0.591,0.571,608,556,591</t>
  </si>
  <si>
    <t>10/10/18 13:10:08,17.5,17.5,17.5,0.593,0.581,0.568,633,575,632</t>
  </si>
  <si>
    <t>10/10/18 13:22:49,17.4,17.5,17.4,0.597,0.585,0.57,673,609,659</t>
  </si>
  <si>
    <t>10/10/18 13:35:29,17.3,17.4,17.3,0.578,0.566,0.552,727,648,711</t>
  </si>
  <si>
    <t>10/10/18 13:48:09,17.3,17.4,17.3,0.567,0.554,0.541,758,681,745</t>
  </si>
  <si>
    <t>10/10/18 14:00:52,17.3,17.4,17.3,0.566,0.554,0.539,750,688,743</t>
  </si>
  <si>
    <t>10/10/18 14:13:32,17.3,17.4,17.3,0.559,0.547,0.534,759,689,753</t>
  </si>
  <si>
    <t>10/10/18 14:26:12,17.2,17.3,17.2,0.551,0.539,0.526,1009,917,1009</t>
  </si>
  <si>
    <t>10/10/18 14:38:53,17.2,17.3,17.2,0.554,0.541,0.527,1125,1020,1136</t>
  </si>
  <si>
    <t>10/10/18 14:51:38,17.2,17.3,17.2,0.56,0.548,0.534,1270,1147,1278</t>
  </si>
  <si>
    <t>10/10/18 15:04:18,17.2,17.3,17.2,0.562,0.549,0.535,1294,1162,1296</t>
  </si>
  <si>
    <t>10/10/18 15:16:58,17.2,17.3,17.2,0.571,0.559,0.545,1440,1298,1424</t>
  </si>
  <si>
    <t>10/10/18 15:29:39,17.2,17.3,17.2,0.581,0.57,0.555,1558,1403,1572</t>
  </si>
  <si>
    <t>10/10/18 15:42:19,17.2,17.3,17.2,0.599,0.586,0.571,1656,1498,1691</t>
  </si>
  <si>
    <t>10/10/18 15:54:59,17.2,17.3,17.2,0.614,0.6,0.584,1786,1589,1796</t>
  </si>
  <si>
    <t>10/10/18 16:07:39,17.2,17.3,17.2,0.605,0.591,0.576,2165,1906,2176</t>
  </si>
  <si>
    <t>10/10/18 16:20:19,17.2,17.3,17.2,0.606,0.594,0.579,2387,2114,2451</t>
  </si>
  <si>
    <t>10/10/18 16:33:02,17.2,17.3,17.2,0.617,0.604,0.586,3079,2603,3170</t>
  </si>
  <si>
    <t>10/10/18 16:45:45,17.4,17.6,17.2,0.613,0.587,0.583,3610,3161,3985</t>
  </si>
  <si>
    <t>10/10/18 16:58:26,17.7,18.2,17.5,0.609,0.578,0.584,4095,3571,4808</t>
  </si>
  <si>
    <t>10/10/18 17:11:06,18.3,18.4,18.3,0.844,0.835,0.823,5351,3933,6702</t>
  </si>
  <si>
    <t>10/10/18 17:23:47,18.0,18.0,18.1,0.937,0.941,0.919,6730,4906,8818</t>
  </si>
  <si>
    <t>10/10/18 17:36:27,17.7,17.7,17.7,0.867,0.867,0.843,8573,6210,11500</t>
  </si>
  <si>
    <t>10/10/18 17:49:08,17.5,17.5,17.5,0.795,0.793,0.768,12883,9034,18737</t>
  </si>
  <si>
    <t>10/10/18 18:01:49,17.3,17.4,17.4,0.749,0.747,0.723,21947,15090,46936</t>
  </si>
  <si>
    <t>10/10/18 18:14:34,17.3,17.3,17.3,0.721,0.72,0.694,58138,31947,100000</t>
  </si>
  <si>
    <t>10/10/18 18:27:14,17.4,17.4,17.3,0.698,0.697,0.671,1330,1092,1388</t>
  </si>
  <si>
    <t>10/10/18 18:38:35,17.6,17.7,17.5,0.674,0.673,0.653,1608,1333,1694</t>
  </si>
  <si>
    <t>10/10/18 18:51:34,17.5,17.6,17.5,0.677,0.677,0.65,100000,100000,100000</t>
  </si>
  <si>
    <t>10/10/18 19:04:23,17.4,17.5,17.4,0.683,0.683,0.656,100000,100000,100000</t>
  </si>
  <si>
    <t>10/10/18 19:17:12,17.3,17.4,17.3,0.689,0.689,0.662,100000,100000,100000</t>
  </si>
  <si>
    <t>10/10/18 19:30:01,17.3,17.4,17.3,0.698,0.698,0.67,100000,100000,100000</t>
  </si>
  <si>
    <t>10/10/18 19:42:51,17.3,17.3,17.2,0.705,0.706,0.677,100000,100000,100000</t>
  </si>
  <si>
    <t>10/10/18 19:55:37,17.5,17.5,17.2,0.705,0.704,0.678,2542,2337,4269</t>
  </si>
  <si>
    <t>10/10/18 20:08:27,15.1,13.2,12.6,0.63,0.686,0.677,100000,100000,100000</t>
  </si>
  <si>
    <t>10/10/18 20:21:16,10.2,9.0,8.8,0.684,0.735,0.685,100000,100000,100000</t>
  </si>
  <si>
    <t>10/10/18 20:34:08,6.5,6.2,6.0,0.775,0.806,0.738,100000,100000,100000</t>
  </si>
  <si>
    <t>10/10/18 20:46:57,5.8,5.6,5.4,0.825,0.851,0.788,100000,100000,100000</t>
  </si>
  <si>
    <t>10/10/18 20:59:45,6.2,6.1,5.8,0.852,0.874,0.815,100000,100000,100000</t>
  </si>
  <si>
    <t>10/10/18 21:12:34,6.9,6.8,6.5,0.864,0.884,0.827,100000,100000,100000</t>
  </si>
  <si>
    <t>10/10/18 21:25:23,7.6,7.4,7.2,0.872,0.888,0.832,100000,100000,100000</t>
  </si>
  <si>
    <t>10/10/18 21:38:12,8.8,8.7,8.3,0.902,0.913,0.917,100000,100000,100000</t>
  </si>
  <si>
    <t>10/10/18 21:51:01,9.2,9.0,8.6,0.917,0.916,0.958,100000,100000,100000</t>
  </si>
  <si>
    <t>10/10/18 22:03:50,9.5,9.3,8.9,0.918,0.913,0.958,100000,100000,100000</t>
  </si>
  <si>
    <t>10/10/18 22:16:39,9.9,9.8,9.4,0.916,0.911,0.956,100000,100000,100000</t>
  </si>
  <si>
    <t>10/10/18 22:29:28,10.4,10.3,10.0,0.914,0.908,0.954,100000,100000,100000</t>
  </si>
  <si>
    <t>10/10/18 22:42:17,11.0,10.9,10.5,0.912,0.905,0.951,91268,78384,100000</t>
  </si>
  <si>
    <t>10/10/18 22:55:07,11.4,11.3,11.0,0.908,0.902,0.947,100000,100000,100000</t>
  </si>
  <si>
    <t>10/10/18 23:07:58,11.8,11.7,11.5,0.906,0.896,0.944,100000,100000,100000</t>
  </si>
  <si>
    <t>10/10/18 23:20:48,12.2,12.2,11.9,0.903,0.889,0.942,100000,100000,100000</t>
  </si>
  <si>
    <t>10/10/18 23:33:39,12.8,12.9,12.5,0.867,0.857,0.93,100000,100000,100000</t>
  </si>
  <si>
    <t>10/10/18 23:46:29,12.9,13.3,12.7,0.878,0.847,0.928,100000,100000,100000</t>
  </si>
  <si>
    <t>10/10/18 23:59:18,13.1,13.4,13.0,0.883,0.849,0.93,100000,100000,100000</t>
  </si>
  <si>
    <t>10/11/18 00:12:07,14.4,14.9,14.4,0.865,0.825,0.92,100000,100000,100000</t>
  </si>
  <si>
    <t>10/11/18 00:24:59,15.3,15.9,15.3,0.845,0.805,0.909,100000,100000,100000</t>
  </si>
  <si>
    <t>10/11/18 00:37:48,15.5,16.0,15.5,0.837,0.799,0.905,100000,100000,100000</t>
  </si>
  <si>
    <t>10/11/18 00:50:38,15.6,16.1,15.7,0.833,0.795,0.904,100000,100000,100000</t>
  </si>
  <si>
    <t>10/11/18 01:03:27,15.7,16.2,15.8,0.832,0.794,0.904,100000,100000,100000</t>
  </si>
  <si>
    <t>10/11/18 01:16:16,15.8,16.3,15.9,0.831,0.793,0.904,100000,100000,100000</t>
  </si>
  <si>
    <t>10/11/18 01:29:05,15.9,16.3,15.9,0.83,0.793,0.904,100000,100000,100000</t>
  </si>
  <si>
    <t>10/11/18 01:41:57,16.0,16.3,16.0,0.828,0.793,0.904,100000,100000,100000</t>
  </si>
  <si>
    <t>10/11/18 01:54:46,16.0,16.4,16.0,0.826,0.792,0.903,100000,100000,100000</t>
  </si>
  <si>
    <t>10/11/18 02:07:36,16.1,16.4,16.1,0.825,0.792,0.903,100000,100000,100000</t>
  </si>
  <si>
    <t>10/11/18 02:20:25,16.2,16.4,16.1,0.824,0.791,0.903,100000,100000,100000</t>
  </si>
  <si>
    <t>10/11/18 02:33:14,16.2,16.5,16.2,0.821,0.79,0.902,100000,100000,100000</t>
  </si>
  <si>
    <t>10/11/18 02:46:06,16.2,16.5,16.2,0.82,0.79,0.902,100000,100000,100000</t>
  </si>
  <si>
    <t>10/11/18 02:58:55,16.3,16.5,16.3,0.818,0.789,0.901,100000,100000,100000</t>
  </si>
  <si>
    <t>10/11/18 03:11:45,16.3,16.5,16.3,0.816,0.789,0.901,100000,100000,100000</t>
  </si>
  <si>
    <t>10/11/18 03:24:34,16.3,16.6,16.3,0.815,0.789,0.901,100000,100000,100000</t>
  </si>
  <si>
    <t>10/11/18 03:37:23,16.4,16.6,16.4,0.813,0.783,0.897,100000,100000,100000</t>
  </si>
  <si>
    <t>10/11/18 03:50:15,16.4,16.6,16.4,0.81,0.777,0.894,100000,100000,100000</t>
  </si>
  <si>
    <t>10/11/18 04:03:04,16.4,16.7,16.5,0.806,0.775,0.889,100000,100000,100000</t>
  </si>
  <si>
    <t>10/11/18 04:15:53,16.5,16.7,16.5,0.806,0.774,0.888,100000,100000,100000</t>
  </si>
  <si>
    <t>10/11/18 04:28:43,16.5,16.7,16.5,0.804,0.772,0.886,100000,100000,100000</t>
  </si>
  <si>
    <t>10/11/18 04:41:34,16.5,16.8,16.5,0.801,0.769,0.883,100000,100000,100000</t>
  </si>
  <si>
    <t>10/11/18 04:54:24,16.6,16.8,16.6,0.8,0.769,0.882,100000,100000,100000</t>
  </si>
  <si>
    <t>10/11/18 05:07:13,16.6,16.8,16.6,0.798,0.768,0.881,100000,100000,100000</t>
  </si>
  <si>
    <t>10/11/18 05:20:02,16.6,16.8,16.6,0.799,0.77,0.882,100000,100000,100000</t>
  </si>
  <si>
    <t>10/11/18 05:32:54,16.6,16.8,16.6,0.796,0.767,0.879,100000,100000,100000</t>
  </si>
  <si>
    <t>10/11/18 05:45:46,16.6,16.8,16.6,0.796,0.767,0.878,100000,100000,100000</t>
  </si>
  <si>
    <t>10/11/18 05:58:35,16.6,16.8,16.6,0.795,0.766,0.876,100000,100000,100000</t>
  </si>
  <si>
    <t>10/11/18 06:11:24,16.6,16.8,16.6,0.792,0.764,0.874,100000,100000,100000</t>
  </si>
  <si>
    <t>10/11/18 06:24:19,16.7,16.8,16.7,0.793,0.764,0.874,100000,100000,100000</t>
  </si>
  <si>
    <t>10/11/18 06:37:11,16.7,16.8,16.7,0.792,0.764,0.875,100000,100000,100000</t>
  </si>
  <si>
    <t>10/11/18 06:50:00,16.8,17.0,16.8,0.794,0.767,0.873,100000,100000,100000</t>
  </si>
  <si>
    <t>10/11/18 07:02:49,16.8,17.0,16.8,0.793,0.768,0.873,100000,100000,100000</t>
  </si>
  <si>
    <t>10/11/18 07:15:38,16.8,16.9,16.8,0.792,0.768,0.873,99787,93792,100000</t>
  </si>
  <si>
    <t>10/11/18 07:28:27,17.1,17.3,17.1,0.776,0.754,0.849,58896,49814,100000</t>
  </si>
  <si>
    <t>10/11/18 07:41:15,17.0,17.2,17.1,0.795,0.77,0.877,38543,40823,100000</t>
  </si>
  <si>
    <t>10/11/18 07:54:03,17.0,17.0,16.9,0.823,0.793,0.904,21404,21960,91971</t>
  </si>
  <si>
    <t>10/11/18 08:06:54,17.1,17.1,17.0,0.827,0.797,0.906,17925,17165,65860</t>
  </si>
  <si>
    <t>10/11/18 08:19:41,16.9,17.0,16.9,0.803,0.779,0.887,12207,11869,48315</t>
  </si>
  <si>
    <t>10/11/18 08:32:29,16.9,16.9,16.8,0.789,0.769,0.872,10079,9754,26223</t>
  </si>
  <si>
    <t>10/11/18 08:45:16,16.8,16.9,16.7,0.784,0.765,0.866,8232,8030,21914</t>
  </si>
  <si>
    <t>10/11/18 08:58:03,16.8,16.8,16.7,0.775,0.758,0.856,6805,6668,16232</t>
  </si>
  <si>
    <t>10/11/18 09:10:50,16.8,16.8,16.7,0.768,0.753,0.849,5879,5795,13773</t>
  </si>
  <si>
    <t>10/11/18 09:23:37,16.7,16.8,16.7,0.762,0.75,0.841,5276,5252,12185</t>
  </si>
  <si>
    <t>10/11/18 09:36:24,16.7,16.7,16.6,0.755,0.744,0.832,4980,4860,11274</t>
  </si>
  <si>
    <t>10/11/18 09:49:11,16.7,16.7,16.6,0.749,0.74,0.824,4473,4413,9843</t>
  </si>
  <si>
    <t>10/11/18 10:01:58,16.7,16.8,16.6,0.742,0.735,0.815,4083,4060,8930</t>
  </si>
  <si>
    <t>10/11/18 10:14:44,16.7,16.8,16.6,0.735,0.729,0.807,3691,3714,8114</t>
  </si>
  <si>
    <t>10/11/18 10:27:31,16.7,16.7,16.6,0.728,0.723,0.796,3321,3316,7075</t>
  </si>
  <si>
    <t>10/11/18 10:40:18,16.6,16.7,16.6,0.719,0.717,0.785,3155,3152,6618</t>
  </si>
  <si>
    <t>10/11/18 10:53:05,16.7,16.7,16.6,0.708,0.707,0.769,2982,2992,6171</t>
  </si>
  <si>
    <t>10/11/18 11:05:52,16.6,16.7,16.6,0.698,0.698,0.755,2694,2710,5541</t>
  </si>
  <si>
    <t>10/11/18 11:18:38,16.6,16.7,16.6,0.691,0.692,0.743,2558,2570,5210</t>
  </si>
  <si>
    <t>10/11/18 11:31:25,16.6,16.7,16.6,0.686,0.688,0.737,2441,2472,4980</t>
  </si>
  <si>
    <t>10/11/18 11:44:12,16.6,16.7,16.6,0.684,0.686,0.734,2329,2350,4683</t>
  </si>
  <si>
    <t>10/11/18 11:56:59,16.6,16.7,16.6,0.685,0.686,0.734,2138,2160,4306</t>
  </si>
  <si>
    <t>10/11/18 12:09:45,16.6,16.7,16.6,0.678,0.68,0.724,2010,2047,3991</t>
  </si>
  <si>
    <t>10/11/18 12:22:32,16.6,16.7,16.6,0.676,0.678,0.72,1911,1940,3792</t>
  </si>
  <si>
    <t>10/11/18 12:35:21,16.6,16.7,16.6,0.668,0.671,0.707,1850,1880,3539</t>
  </si>
  <si>
    <t>10/11/18 12:48:11,16.6,16.8,16.6,0.662,0.666,0.7,1811,1834,3552</t>
  </si>
  <si>
    <t>10/11/18 13:00:57,16.6,16.7,16.6,0.652,0.656,0.685,1812,1841,3560</t>
  </si>
  <si>
    <t>10/11/18 13:13:44,16.6,16.7,16.6,0.64,0.646,0.669,1758,1776,3470</t>
  </si>
  <si>
    <t>10/11/18 13:26:31,16.7,16.8,16.7,0.644,0.648,0.675,1658,1695,3243</t>
  </si>
  <si>
    <t>10/11/18 13:39:20,16.7,16.7,16.6,0.633,0.639,0.66,1562,1608,3060</t>
  </si>
  <si>
    <t>10/11/18 13:52:07,16.7,16.8,16.7,0.636,0.64,0.658,1577,1602,3092</t>
  </si>
  <si>
    <t>10/11/18 14:04:56,16.7,16.8,16.7,0.635,0.64,0.66,1582,1616,3104</t>
  </si>
  <si>
    <t>10/11/18 14:17:43,16.7,16.8,16.7,0.627,0.633,0.65,1619,1659,3202</t>
  </si>
  <si>
    <t>10/11/18 14:43:16,16.7,16.8,16.7,0.619,0.625,0.64,1665,1701,3222</t>
  </si>
  <si>
    <t>10/11/18 14:56:03,16.7,16.8,16.7,0.612,0.619,0.629,1621,1653,3200</t>
  </si>
  <si>
    <t>10/11/18 15:08:50,16.7,16.8,16.7,0.615,0.621,0.632,1772,1809,3549</t>
  </si>
  <si>
    <t>10/11/18 15:21:36,16.8,16.9,16.7,0.631,0.636,0.651,1964,1994,3884</t>
  </si>
  <si>
    <t>10/11/18 15:34:26,16.8,16.9,16.7,0.631,0.634,0.65,2005,2029,3984</t>
  </si>
  <si>
    <t>10/11/18 15:47:15,16.8,16.9,16.8,0.625,0.631,0.646,2229,2261,4555</t>
  </si>
  <si>
    <t>10/11/18 16:00:02,16.8,16.9,16.8,0.63,0.635,0.653,2342,2368,4814</t>
  </si>
  <si>
    <t>10/11/18 16:12:49,16.8,16.8,16.8,0.621,0.626,0.639,2447,2467,5020</t>
  </si>
  <si>
    <t>10/11/18 16:25:35,16.8,16.9,16.8,0.624,0.628,0.641,2723,2739,5731</t>
  </si>
  <si>
    <t>10/11/18 16:38:25,16.8,16.9,16.8,0.626,0.631,0.645,3376,3305,7161</t>
  </si>
  <si>
    <t>10/11/18 16:51:11,16.8,16.9,16.8,0.629,0.635,0.651,4016,4020,8894</t>
  </si>
  <si>
    <t>10/11/18 17:04:01,16.8,16.9,16.8,0.649,0.654,0.693,4720,4789,10905</t>
  </si>
  <si>
    <t>10/11/18 17:16:48,16.8,17.0,16.8,0.69,0.692,0.737,5938,5865,13924</t>
  </si>
  <si>
    <t>10/11/18 17:29:35,16.9,16.9,16.8,0.709,0.708,0.765,8308,8177,22582</t>
  </si>
  <si>
    <t>10/11/18 17:42:23,16.9,16.9,16.8,0.714,0.713,0.773,11895,11585,43772</t>
  </si>
  <si>
    <t>10/11/18 17:55:10,16.8,16.9,16.8,0.716,0.714,0.777,20747,17683,80310</t>
  </si>
  <si>
    <t>10/11/18 18:07:59,16.8,16.9,16.8,0.717,0.716,0.779,37343,33478,100000</t>
  </si>
  <si>
    <t>10/11/18 18:20:48,16.8,16.9,16.8,0.715,0.714,0.777,97715,97711,100000</t>
  </si>
  <si>
    <t>10/11/18 18:33:37,16.8,16.9,16.8,0.717,0.716,0.781,100000,100000,100000</t>
  </si>
  <si>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</si>
  <si>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</si>
  <si>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</si>
  <si>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</si>
  <si>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</si>
  <si>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</si>
  <si>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</si>
  <si>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</si>
  <si>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</si>
  <si>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</si>
  <si>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</si>
  <si>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>Temp</t>
  </si>
  <si>
    <t>Hum</t>
  </si>
  <si>
    <t>t1</t>
  </si>
  <si>
    <t>t2</t>
  </si>
  <si>
    <t>t3</t>
  </si>
  <si>
    <t>h1</t>
  </si>
  <si>
    <t>h2</t>
  </si>
  <si>
    <t>h3</t>
  </si>
  <si>
    <t>temp1</t>
  </si>
  <si>
    <t>temp2</t>
  </si>
  <si>
    <t>temp3</t>
  </si>
  <si>
    <t>hum1</t>
  </si>
  <si>
    <t>hum2</t>
  </si>
  <si>
    <t>hum3</t>
  </si>
  <si>
    <t>avrg hum</t>
  </si>
  <si>
    <t>avrg temp</t>
  </si>
  <si>
    <t>delta t</t>
  </si>
  <si>
    <t>das sind 44h</t>
  </si>
  <si>
    <t>The average deviation from the average value</t>
  </si>
</sst>
</file>

<file path=xl/styles.xml><?xml version="1.0" encoding="utf-8"?>
<styleSheet xmlns="http://schemas.openxmlformats.org/spreadsheetml/2006/main">
  <numFmts count="6">
    <numFmt numFmtId="164" formatCode="0.0"/>
    <numFmt numFmtId="165" formatCode="0.0%"/>
    <numFmt numFmtId="166" formatCode="0.000"/>
    <numFmt numFmtId="167" formatCode="0.000%"/>
    <numFmt numFmtId="170" formatCode="dd\ hh:mm:ss"/>
    <numFmt numFmtId="173" formatCode="dd\.mm\.yy\ \ \ hh:mm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77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3" fillId="3" borderId="0" xfId="2"/>
    <xf numFmtId="0" fontId="2" fillId="2" borderId="0" xfId="1"/>
    <xf numFmtId="170" fontId="0" fillId="0" borderId="0" xfId="0" applyNumberFormat="1"/>
    <xf numFmtId="0" fontId="0" fillId="0" borderId="0" xfId="0" applyAlignment="1">
      <alignment horizontal="center"/>
    </xf>
    <xf numFmtId="166" fontId="2" fillId="2" borderId="1" xfId="1" applyNumberFormat="1" applyBorder="1"/>
    <xf numFmtId="167" fontId="2" fillId="2" borderId="1" xfId="1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0" borderId="1" xfId="0" applyNumberFormat="1" applyBorder="1"/>
    <xf numFmtId="165" fontId="0" fillId="0" borderId="1" xfId="0" applyNumberFormat="1" applyBorder="1"/>
    <xf numFmtId="164" fontId="0" fillId="0" borderId="5" xfId="0" applyNumberFormat="1" applyBorder="1"/>
    <xf numFmtId="165" fontId="0" fillId="0" borderId="5" xfId="0" applyNumberFormat="1" applyBorder="1"/>
    <xf numFmtId="166" fontId="0" fillId="0" borderId="5" xfId="0" applyNumberFormat="1" applyBorder="1"/>
    <xf numFmtId="167" fontId="0" fillId="0" borderId="5" xfId="0" applyNumberFormat="1" applyBorder="1"/>
    <xf numFmtId="164" fontId="0" fillId="0" borderId="3" xfId="0" applyNumberFormat="1" applyBorder="1"/>
    <xf numFmtId="165" fontId="0" fillId="0" borderId="3" xfId="0" applyNumberFormat="1" applyBorder="1"/>
    <xf numFmtId="166" fontId="0" fillId="0" borderId="3" xfId="0" applyNumberFormat="1" applyBorder="1"/>
    <xf numFmtId="167" fontId="0" fillId="0" borderId="3" xfId="0" applyNumberFormat="1" applyBorder="1"/>
    <xf numFmtId="166" fontId="0" fillId="0" borderId="1" xfId="0" applyNumberFormat="1" applyBorder="1"/>
    <xf numFmtId="167" fontId="0" fillId="0" borderId="1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6" xfId="0" applyNumberFormat="1" applyBorder="1"/>
    <xf numFmtId="164" fontId="0" fillId="0" borderId="17" xfId="0" applyNumberFormat="1" applyBorder="1"/>
    <xf numFmtId="165" fontId="0" fillId="0" borderId="12" xfId="0" applyNumberFormat="1" applyBorder="1"/>
    <xf numFmtId="165" fontId="0" fillId="0" borderId="13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6" xfId="0" applyNumberFormat="1" applyBorder="1"/>
    <xf numFmtId="165" fontId="0" fillId="0" borderId="17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2" fillId="2" borderId="9" xfId="1" applyNumberFormat="1" applyBorder="1"/>
    <xf numFmtId="165" fontId="0" fillId="0" borderId="9" xfId="0" applyNumberFormat="1" applyBorder="1"/>
    <xf numFmtId="165" fontId="0" fillId="0" borderId="10" xfId="0" applyNumberFormat="1" applyBorder="1"/>
    <xf numFmtId="165" fontId="0" fillId="0" borderId="11" xfId="0" applyNumberFormat="1" applyBorder="1"/>
    <xf numFmtId="165" fontId="2" fillId="2" borderId="9" xfId="1" applyNumberFormat="1" applyBorder="1"/>
    <xf numFmtId="166" fontId="0" fillId="0" borderId="12" xfId="0" applyNumberFormat="1" applyBorder="1"/>
    <xf numFmtId="166" fontId="0" fillId="0" borderId="13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166" fontId="0" fillId="0" borderId="16" xfId="0" applyNumberFormat="1" applyBorder="1"/>
    <xf numFmtId="166" fontId="0" fillId="0" borderId="17" xfId="0" applyNumberFormat="1" applyBorder="1"/>
    <xf numFmtId="166" fontId="2" fillId="2" borderId="12" xfId="1" applyNumberFormat="1" applyBorder="1"/>
    <xf numFmtId="166" fontId="2" fillId="2" borderId="13" xfId="1" applyNumberFormat="1" applyBorder="1"/>
    <xf numFmtId="167" fontId="0" fillId="0" borderId="12" xfId="0" applyNumberFormat="1" applyBorder="1"/>
    <xf numFmtId="167" fontId="0" fillId="0" borderId="13" xfId="0" applyNumberFormat="1" applyBorder="1"/>
    <xf numFmtId="167" fontId="0" fillId="0" borderId="14" xfId="0" applyNumberFormat="1" applyBorder="1"/>
    <xf numFmtId="167" fontId="0" fillId="0" borderId="15" xfId="0" applyNumberFormat="1" applyBorder="1"/>
    <xf numFmtId="167" fontId="0" fillId="0" borderId="16" xfId="0" applyNumberFormat="1" applyBorder="1"/>
    <xf numFmtId="167" fontId="0" fillId="0" borderId="17" xfId="0" applyNumberFormat="1" applyBorder="1"/>
    <xf numFmtId="167" fontId="2" fillId="2" borderId="12" xfId="1" applyNumberFormat="1" applyBorder="1"/>
    <xf numFmtId="167" fontId="2" fillId="2" borderId="13" xfId="1" applyNumberFormat="1" applyBorder="1"/>
    <xf numFmtId="0" fontId="0" fillId="0" borderId="18" xfId="0" applyBorder="1"/>
    <xf numFmtId="0" fontId="0" fillId="0" borderId="19" xfId="0" applyBorder="1"/>
    <xf numFmtId="164" fontId="0" fillId="0" borderId="20" xfId="0" applyNumberFormat="1" applyBorder="1"/>
    <xf numFmtId="164" fontId="0" fillId="0" borderId="21" xfId="0" applyNumberFormat="1" applyBorder="1"/>
    <xf numFmtId="164" fontId="0" fillId="0" borderId="22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5" fontId="0" fillId="0" borderId="22" xfId="0" applyNumberFormat="1" applyBorder="1"/>
    <xf numFmtId="165" fontId="0" fillId="0" borderId="19" xfId="0" applyNumberFormat="1" applyBorder="1"/>
    <xf numFmtId="164" fontId="0" fillId="0" borderId="19" xfId="0" applyNumberFormat="1" applyBorder="1"/>
    <xf numFmtId="0" fontId="0" fillId="0" borderId="22" xfId="0" applyBorder="1"/>
    <xf numFmtId="173" fontId="0" fillId="0" borderId="9" xfId="0" applyNumberFormat="1" applyBorder="1"/>
    <xf numFmtId="173" fontId="0" fillId="0" borderId="10" xfId="0" applyNumberFormat="1" applyBorder="1"/>
    <xf numFmtId="173" fontId="0" fillId="0" borderId="11" xfId="0" applyNumberFormat="1" applyBorder="1"/>
  </cellXfs>
  <cellStyles count="3">
    <cellStyle name="Gut" xfId="1" builtinId="26"/>
    <cellStyle name="Schlecht" xfId="2" builtinId="27"/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Temperature and Lightlevel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Tabelle1!$C$1</c:f>
              <c:strCache>
                <c:ptCount val="1"/>
                <c:pt idx="0">
                  <c:v>Temp 1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Tabelle1!$C$2:$C$208</c:f>
              <c:numCache>
                <c:formatCode>0.0</c:formatCode>
                <c:ptCount val="207"/>
                <c:pt idx="0">
                  <c:v>17.7</c:v>
                </c:pt>
                <c:pt idx="1">
                  <c:v>17.7</c:v>
                </c:pt>
                <c:pt idx="2">
                  <c:v>17.5</c:v>
                </c:pt>
                <c:pt idx="3">
                  <c:v>17.399999999999999</c:v>
                </c:pt>
                <c:pt idx="4">
                  <c:v>17.399999999999999</c:v>
                </c:pt>
                <c:pt idx="5">
                  <c:v>17.3</c:v>
                </c:pt>
                <c:pt idx="6">
                  <c:v>17.3</c:v>
                </c:pt>
                <c:pt idx="7">
                  <c:v>17.2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17.100000000000001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16.899999999999999</c:v>
                </c:pt>
                <c:pt idx="24">
                  <c:v>16.899999999999999</c:v>
                </c:pt>
                <c:pt idx="25">
                  <c:v>16.899999999999999</c:v>
                </c:pt>
                <c:pt idx="26">
                  <c:v>16.899999999999999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16.899999999999999</c:v>
                </c:pt>
                <c:pt idx="39">
                  <c:v>17</c:v>
                </c:pt>
                <c:pt idx="40">
                  <c:v>16.899999999999999</c:v>
                </c:pt>
                <c:pt idx="41">
                  <c:v>16.899999999999999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17.100000000000001</c:v>
                </c:pt>
                <c:pt idx="48">
                  <c:v>17.2</c:v>
                </c:pt>
                <c:pt idx="49">
                  <c:v>17.3</c:v>
                </c:pt>
                <c:pt idx="50">
                  <c:v>17.399999999999999</c:v>
                </c:pt>
                <c:pt idx="51">
                  <c:v>17.399999999999999</c:v>
                </c:pt>
                <c:pt idx="52">
                  <c:v>17.5</c:v>
                </c:pt>
                <c:pt idx="53">
                  <c:v>17.5</c:v>
                </c:pt>
                <c:pt idx="54">
                  <c:v>17.5</c:v>
                </c:pt>
                <c:pt idx="55">
                  <c:v>17.399999999999999</c:v>
                </c:pt>
                <c:pt idx="56">
                  <c:v>17.399999999999999</c:v>
                </c:pt>
                <c:pt idx="57">
                  <c:v>17.399999999999999</c:v>
                </c:pt>
                <c:pt idx="58">
                  <c:v>17.399999999999999</c:v>
                </c:pt>
                <c:pt idx="59">
                  <c:v>17.3</c:v>
                </c:pt>
                <c:pt idx="60">
                  <c:v>17.399999999999999</c:v>
                </c:pt>
                <c:pt idx="61">
                  <c:v>17.3</c:v>
                </c:pt>
                <c:pt idx="62">
                  <c:v>17.3</c:v>
                </c:pt>
                <c:pt idx="63">
                  <c:v>17.399999999999999</c:v>
                </c:pt>
                <c:pt idx="64">
                  <c:v>17.399999999999999</c:v>
                </c:pt>
                <c:pt idx="65">
                  <c:v>17.399999999999999</c:v>
                </c:pt>
                <c:pt idx="66">
                  <c:v>17.600000000000001</c:v>
                </c:pt>
                <c:pt idx="67">
                  <c:v>17.8</c:v>
                </c:pt>
                <c:pt idx="68">
                  <c:v>17.7</c:v>
                </c:pt>
                <c:pt idx="69">
                  <c:v>17.5</c:v>
                </c:pt>
                <c:pt idx="70">
                  <c:v>17.399999999999999</c:v>
                </c:pt>
                <c:pt idx="71">
                  <c:v>17.3</c:v>
                </c:pt>
                <c:pt idx="72">
                  <c:v>17.3</c:v>
                </c:pt>
                <c:pt idx="73">
                  <c:v>17.3</c:v>
                </c:pt>
                <c:pt idx="74">
                  <c:v>17.3</c:v>
                </c:pt>
                <c:pt idx="75">
                  <c:v>17.2</c:v>
                </c:pt>
                <c:pt idx="76">
                  <c:v>17.2</c:v>
                </c:pt>
                <c:pt idx="77">
                  <c:v>17.2</c:v>
                </c:pt>
                <c:pt idx="78">
                  <c:v>17.2</c:v>
                </c:pt>
                <c:pt idx="79">
                  <c:v>17.2</c:v>
                </c:pt>
                <c:pt idx="80">
                  <c:v>17.2</c:v>
                </c:pt>
                <c:pt idx="81">
                  <c:v>17.2</c:v>
                </c:pt>
                <c:pt idx="82">
                  <c:v>17.2</c:v>
                </c:pt>
                <c:pt idx="83">
                  <c:v>17.2</c:v>
                </c:pt>
                <c:pt idx="84">
                  <c:v>17.2</c:v>
                </c:pt>
                <c:pt idx="85">
                  <c:v>17.2</c:v>
                </c:pt>
                <c:pt idx="86">
                  <c:v>17.399999999999999</c:v>
                </c:pt>
                <c:pt idx="87">
                  <c:v>17.7</c:v>
                </c:pt>
                <c:pt idx="88">
                  <c:v>18.3</c:v>
                </c:pt>
                <c:pt idx="89">
                  <c:v>18</c:v>
                </c:pt>
                <c:pt idx="90">
                  <c:v>17.7</c:v>
                </c:pt>
                <c:pt idx="91">
                  <c:v>17.5</c:v>
                </c:pt>
                <c:pt idx="92">
                  <c:v>17.3</c:v>
                </c:pt>
                <c:pt idx="93">
                  <c:v>17.3</c:v>
                </c:pt>
                <c:pt idx="94">
                  <c:v>17.399999999999999</c:v>
                </c:pt>
                <c:pt idx="95">
                  <c:v>17.600000000000001</c:v>
                </c:pt>
                <c:pt idx="96">
                  <c:v>17.5</c:v>
                </c:pt>
                <c:pt idx="97">
                  <c:v>17.399999999999999</c:v>
                </c:pt>
                <c:pt idx="98">
                  <c:v>17.3</c:v>
                </c:pt>
                <c:pt idx="99">
                  <c:v>17.3</c:v>
                </c:pt>
                <c:pt idx="100">
                  <c:v>17.3</c:v>
                </c:pt>
                <c:pt idx="101">
                  <c:v>17.5</c:v>
                </c:pt>
                <c:pt idx="102">
                  <c:v>15.1</c:v>
                </c:pt>
                <c:pt idx="103">
                  <c:v>10.199999999999999</c:v>
                </c:pt>
                <c:pt idx="104">
                  <c:v>6.5</c:v>
                </c:pt>
                <c:pt idx="105">
                  <c:v>5.8</c:v>
                </c:pt>
                <c:pt idx="106">
                  <c:v>6.2</c:v>
                </c:pt>
                <c:pt idx="107">
                  <c:v>6.9</c:v>
                </c:pt>
                <c:pt idx="108">
                  <c:v>7.6</c:v>
                </c:pt>
                <c:pt idx="109">
                  <c:v>8.8000000000000007</c:v>
                </c:pt>
                <c:pt idx="110">
                  <c:v>9.1999999999999993</c:v>
                </c:pt>
                <c:pt idx="111">
                  <c:v>9.5</c:v>
                </c:pt>
                <c:pt idx="112">
                  <c:v>9.9</c:v>
                </c:pt>
                <c:pt idx="113">
                  <c:v>10.4</c:v>
                </c:pt>
                <c:pt idx="114">
                  <c:v>11</c:v>
                </c:pt>
                <c:pt idx="115">
                  <c:v>11.4</c:v>
                </c:pt>
                <c:pt idx="116">
                  <c:v>11.8</c:v>
                </c:pt>
                <c:pt idx="117">
                  <c:v>12.2</c:v>
                </c:pt>
                <c:pt idx="118">
                  <c:v>12.8</c:v>
                </c:pt>
                <c:pt idx="119">
                  <c:v>12.9</c:v>
                </c:pt>
                <c:pt idx="120">
                  <c:v>13.1</c:v>
                </c:pt>
                <c:pt idx="121">
                  <c:v>14.4</c:v>
                </c:pt>
                <c:pt idx="122">
                  <c:v>15.3</c:v>
                </c:pt>
                <c:pt idx="123">
                  <c:v>15.5</c:v>
                </c:pt>
                <c:pt idx="124">
                  <c:v>15.6</c:v>
                </c:pt>
                <c:pt idx="125">
                  <c:v>15.7</c:v>
                </c:pt>
                <c:pt idx="126">
                  <c:v>15.8</c:v>
                </c:pt>
                <c:pt idx="127">
                  <c:v>15.9</c:v>
                </c:pt>
                <c:pt idx="128">
                  <c:v>16</c:v>
                </c:pt>
                <c:pt idx="129">
                  <c:v>16</c:v>
                </c:pt>
                <c:pt idx="130">
                  <c:v>16.100000000000001</c:v>
                </c:pt>
                <c:pt idx="131">
                  <c:v>16.2</c:v>
                </c:pt>
                <c:pt idx="132">
                  <c:v>16.2</c:v>
                </c:pt>
                <c:pt idx="133">
                  <c:v>16.2</c:v>
                </c:pt>
                <c:pt idx="134">
                  <c:v>16.3</c:v>
                </c:pt>
                <c:pt idx="135">
                  <c:v>16.3</c:v>
                </c:pt>
                <c:pt idx="136">
                  <c:v>16.3</c:v>
                </c:pt>
                <c:pt idx="137">
                  <c:v>16.399999999999999</c:v>
                </c:pt>
                <c:pt idx="138">
                  <c:v>16.399999999999999</c:v>
                </c:pt>
                <c:pt idx="139">
                  <c:v>16.399999999999999</c:v>
                </c:pt>
                <c:pt idx="140">
                  <c:v>16.5</c:v>
                </c:pt>
                <c:pt idx="141">
                  <c:v>16.5</c:v>
                </c:pt>
                <c:pt idx="142">
                  <c:v>16.5</c:v>
                </c:pt>
                <c:pt idx="143">
                  <c:v>16.600000000000001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16.600000000000001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16.600000000000001</c:v>
                </c:pt>
                <c:pt idx="150">
                  <c:v>16.7</c:v>
                </c:pt>
                <c:pt idx="151">
                  <c:v>16.7</c:v>
                </c:pt>
                <c:pt idx="152">
                  <c:v>16.8</c:v>
                </c:pt>
                <c:pt idx="153">
                  <c:v>16.8</c:v>
                </c:pt>
                <c:pt idx="154">
                  <c:v>16.8</c:v>
                </c:pt>
                <c:pt idx="155">
                  <c:v>17.100000000000001</c:v>
                </c:pt>
                <c:pt idx="156">
                  <c:v>17</c:v>
                </c:pt>
                <c:pt idx="157">
                  <c:v>17</c:v>
                </c:pt>
                <c:pt idx="158">
                  <c:v>17.100000000000001</c:v>
                </c:pt>
                <c:pt idx="159">
                  <c:v>16.899999999999999</c:v>
                </c:pt>
                <c:pt idx="160">
                  <c:v>16.899999999999999</c:v>
                </c:pt>
                <c:pt idx="161">
                  <c:v>16.8</c:v>
                </c:pt>
                <c:pt idx="162">
                  <c:v>16.8</c:v>
                </c:pt>
                <c:pt idx="163">
                  <c:v>16.8</c:v>
                </c:pt>
                <c:pt idx="164">
                  <c:v>16.7</c:v>
                </c:pt>
                <c:pt idx="165">
                  <c:v>16.7</c:v>
                </c:pt>
                <c:pt idx="166">
                  <c:v>16.7</c:v>
                </c:pt>
                <c:pt idx="167">
                  <c:v>16.7</c:v>
                </c:pt>
                <c:pt idx="168">
                  <c:v>16.7</c:v>
                </c:pt>
                <c:pt idx="169">
                  <c:v>16.7</c:v>
                </c:pt>
                <c:pt idx="170">
                  <c:v>16.600000000000001</c:v>
                </c:pt>
                <c:pt idx="171">
                  <c:v>16.7</c:v>
                </c:pt>
                <c:pt idx="172">
                  <c:v>16.600000000000001</c:v>
                </c:pt>
                <c:pt idx="173">
                  <c:v>16.600000000000001</c:v>
                </c:pt>
                <c:pt idx="174">
                  <c:v>16.600000000000001</c:v>
                </c:pt>
                <c:pt idx="175">
                  <c:v>16.600000000000001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16.600000000000001</c:v>
                </c:pt>
                <c:pt idx="179">
                  <c:v>16.600000000000001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16.7</c:v>
                </c:pt>
                <c:pt idx="184">
                  <c:v>16.7</c:v>
                </c:pt>
                <c:pt idx="185">
                  <c:v>16.7</c:v>
                </c:pt>
                <c:pt idx="186">
                  <c:v>16.7</c:v>
                </c:pt>
                <c:pt idx="187">
                  <c:v>16.7</c:v>
                </c:pt>
                <c:pt idx="188">
                  <c:v>16.7</c:v>
                </c:pt>
                <c:pt idx="189">
                  <c:v>16.7</c:v>
                </c:pt>
                <c:pt idx="190">
                  <c:v>16.7</c:v>
                </c:pt>
                <c:pt idx="191">
                  <c:v>16.8</c:v>
                </c:pt>
                <c:pt idx="192">
                  <c:v>16.8</c:v>
                </c:pt>
                <c:pt idx="193">
                  <c:v>16.8</c:v>
                </c:pt>
                <c:pt idx="194">
                  <c:v>16.8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16.899999999999999</c:v>
                </c:pt>
                <c:pt idx="202">
                  <c:v>16.899999999999999</c:v>
                </c:pt>
                <c:pt idx="203">
                  <c:v>16.8</c:v>
                </c:pt>
                <c:pt idx="204">
                  <c:v>16.8</c:v>
                </c:pt>
                <c:pt idx="205">
                  <c:v>16.8</c:v>
                </c:pt>
                <c:pt idx="206">
                  <c:v>16.8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Tabelle1!$D$1</c:f>
              <c:strCache>
                <c:ptCount val="1"/>
                <c:pt idx="0">
                  <c:v>Temp 2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Tabelle1!$D$2:$D$208</c:f>
              <c:numCache>
                <c:formatCode>0.0</c:formatCode>
                <c:ptCount val="207"/>
                <c:pt idx="0">
                  <c:v>17.899999999999999</c:v>
                </c:pt>
                <c:pt idx="1">
                  <c:v>17.8</c:v>
                </c:pt>
                <c:pt idx="2">
                  <c:v>17.600000000000001</c:v>
                </c:pt>
                <c:pt idx="3">
                  <c:v>17.5</c:v>
                </c:pt>
                <c:pt idx="4">
                  <c:v>17.399999999999999</c:v>
                </c:pt>
                <c:pt idx="5">
                  <c:v>17.399999999999999</c:v>
                </c:pt>
                <c:pt idx="6">
                  <c:v>17.3</c:v>
                </c:pt>
                <c:pt idx="7">
                  <c:v>17.3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17.100000000000001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17.100000000000001</c:v>
                </c:pt>
                <c:pt idx="48">
                  <c:v>17.2</c:v>
                </c:pt>
                <c:pt idx="49">
                  <c:v>17.3</c:v>
                </c:pt>
                <c:pt idx="50">
                  <c:v>17.399999999999999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18</c:v>
                </c:pt>
                <c:pt idx="55">
                  <c:v>17.8</c:v>
                </c:pt>
                <c:pt idx="56">
                  <c:v>17.600000000000001</c:v>
                </c:pt>
                <c:pt idx="57">
                  <c:v>17.600000000000001</c:v>
                </c:pt>
                <c:pt idx="58">
                  <c:v>17.5</c:v>
                </c:pt>
                <c:pt idx="59">
                  <c:v>17.399999999999999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17.399999999999999</c:v>
                </c:pt>
                <c:pt idx="63">
                  <c:v>17.5</c:v>
                </c:pt>
                <c:pt idx="64">
                  <c:v>17.399999999999999</c:v>
                </c:pt>
                <c:pt idx="65">
                  <c:v>17.399999999999999</c:v>
                </c:pt>
                <c:pt idx="66">
                  <c:v>17.5</c:v>
                </c:pt>
                <c:pt idx="67">
                  <c:v>17.600000000000001</c:v>
                </c:pt>
                <c:pt idx="68">
                  <c:v>17.600000000000001</c:v>
                </c:pt>
                <c:pt idx="69">
                  <c:v>17.5</c:v>
                </c:pt>
                <c:pt idx="70">
                  <c:v>17.5</c:v>
                </c:pt>
                <c:pt idx="71">
                  <c:v>17.399999999999999</c:v>
                </c:pt>
                <c:pt idx="72">
                  <c:v>17.399999999999999</c:v>
                </c:pt>
                <c:pt idx="73">
                  <c:v>17.399999999999999</c:v>
                </c:pt>
                <c:pt idx="74">
                  <c:v>17.399999999999999</c:v>
                </c:pt>
                <c:pt idx="75">
                  <c:v>17.3</c:v>
                </c:pt>
                <c:pt idx="76">
                  <c:v>17.3</c:v>
                </c:pt>
                <c:pt idx="77">
                  <c:v>17.3</c:v>
                </c:pt>
                <c:pt idx="78">
                  <c:v>17.3</c:v>
                </c:pt>
                <c:pt idx="79">
                  <c:v>17.3</c:v>
                </c:pt>
                <c:pt idx="80">
                  <c:v>17.3</c:v>
                </c:pt>
                <c:pt idx="81">
                  <c:v>17.3</c:v>
                </c:pt>
                <c:pt idx="82">
                  <c:v>17.3</c:v>
                </c:pt>
                <c:pt idx="83">
                  <c:v>17.3</c:v>
                </c:pt>
                <c:pt idx="84">
                  <c:v>17.3</c:v>
                </c:pt>
                <c:pt idx="85">
                  <c:v>17.3</c:v>
                </c:pt>
                <c:pt idx="86">
                  <c:v>17.600000000000001</c:v>
                </c:pt>
                <c:pt idx="87">
                  <c:v>18.2</c:v>
                </c:pt>
                <c:pt idx="88">
                  <c:v>18.399999999999999</c:v>
                </c:pt>
                <c:pt idx="89">
                  <c:v>18</c:v>
                </c:pt>
                <c:pt idx="90">
                  <c:v>17.7</c:v>
                </c:pt>
                <c:pt idx="91">
                  <c:v>17.5</c:v>
                </c:pt>
                <c:pt idx="92">
                  <c:v>17.399999999999999</c:v>
                </c:pt>
                <c:pt idx="93">
                  <c:v>17.3</c:v>
                </c:pt>
                <c:pt idx="94">
                  <c:v>17.399999999999999</c:v>
                </c:pt>
                <c:pt idx="95">
                  <c:v>17.7</c:v>
                </c:pt>
                <c:pt idx="96">
                  <c:v>17.600000000000001</c:v>
                </c:pt>
                <c:pt idx="97">
                  <c:v>17.5</c:v>
                </c:pt>
                <c:pt idx="98">
                  <c:v>17.399999999999999</c:v>
                </c:pt>
                <c:pt idx="99">
                  <c:v>17.399999999999999</c:v>
                </c:pt>
                <c:pt idx="100">
                  <c:v>17.3</c:v>
                </c:pt>
                <c:pt idx="101">
                  <c:v>17.5</c:v>
                </c:pt>
                <c:pt idx="102">
                  <c:v>13.2</c:v>
                </c:pt>
                <c:pt idx="103">
                  <c:v>9</c:v>
                </c:pt>
                <c:pt idx="104">
                  <c:v>6.2</c:v>
                </c:pt>
                <c:pt idx="105">
                  <c:v>5.6</c:v>
                </c:pt>
                <c:pt idx="106">
                  <c:v>6.1</c:v>
                </c:pt>
                <c:pt idx="107">
                  <c:v>6.8</c:v>
                </c:pt>
                <c:pt idx="108">
                  <c:v>7.4</c:v>
                </c:pt>
                <c:pt idx="109">
                  <c:v>8.6999999999999993</c:v>
                </c:pt>
                <c:pt idx="110">
                  <c:v>9</c:v>
                </c:pt>
                <c:pt idx="111">
                  <c:v>9.3000000000000007</c:v>
                </c:pt>
                <c:pt idx="112">
                  <c:v>9.8000000000000007</c:v>
                </c:pt>
                <c:pt idx="113">
                  <c:v>10.3</c:v>
                </c:pt>
                <c:pt idx="114">
                  <c:v>10.9</c:v>
                </c:pt>
                <c:pt idx="115">
                  <c:v>11.3</c:v>
                </c:pt>
                <c:pt idx="116">
                  <c:v>11.7</c:v>
                </c:pt>
                <c:pt idx="117">
                  <c:v>12.2</c:v>
                </c:pt>
                <c:pt idx="118">
                  <c:v>12.9</c:v>
                </c:pt>
                <c:pt idx="119">
                  <c:v>13.3</c:v>
                </c:pt>
                <c:pt idx="120">
                  <c:v>13.4</c:v>
                </c:pt>
                <c:pt idx="121">
                  <c:v>14.9</c:v>
                </c:pt>
                <c:pt idx="122">
                  <c:v>15.9</c:v>
                </c:pt>
                <c:pt idx="123">
                  <c:v>16</c:v>
                </c:pt>
                <c:pt idx="124">
                  <c:v>16.100000000000001</c:v>
                </c:pt>
                <c:pt idx="125">
                  <c:v>16.2</c:v>
                </c:pt>
                <c:pt idx="126">
                  <c:v>16.3</c:v>
                </c:pt>
                <c:pt idx="127">
                  <c:v>16.3</c:v>
                </c:pt>
                <c:pt idx="128">
                  <c:v>16.3</c:v>
                </c:pt>
                <c:pt idx="129">
                  <c:v>16.399999999999999</c:v>
                </c:pt>
                <c:pt idx="130">
                  <c:v>16.399999999999999</c:v>
                </c:pt>
                <c:pt idx="131">
                  <c:v>16.399999999999999</c:v>
                </c:pt>
                <c:pt idx="132">
                  <c:v>16.5</c:v>
                </c:pt>
                <c:pt idx="133">
                  <c:v>16.5</c:v>
                </c:pt>
                <c:pt idx="134">
                  <c:v>16.5</c:v>
                </c:pt>
                <c:pt idx="135">
                  <c:v>16.5</c:v>
                </c:pt>
                <c:pt idx="136">
                  <c:v>16.600000000000001</c:v>
                </c:pt>
                <c:pt idx="137">
                  <c:v>16.600000000000001</c:v>
                </c:pt>
                <c:pt idx="138">
                  <c:v>16.600000000000001</c:v>
                </c:pt>
                <c:pt idx="139">
                  <c:v>16.7</c:v>
                </c:pt>
                <c:pt idx="140">
                  <c:v>16.7</c:v>
                </c:pt>
                <c:pt idx="141">
                  <c:v>16.7</c:v>
                </c:pt>
                <c:pt idx="142">
                  <c:v>16.8</c:v>
                </c:pt>
                <c:pt idx="143">
                  <c:v>16.8</c:v>
                </c:pt>
                <c:pt idx="144">
                  <c:v>16.8</c:v>
                </c:pt>
                <c:pt idx="145">
                  <c:v>16.8</c:v>
                </c:pt>
                <c:pt idx="146">
                  <c:v>16.8</c:v>
                </c:pt>
                <c:pt idx="147">
                  <c:v>16.8</c:v>
                </c:pt>
                <c:pt idx="148">
                  <c:v>16.8</c:v>
                </c:pt>
                <c:pt idx="149">
                  <c:v>16.8</c:v>
                </c:pt>
                <c:pt idx="150">
                  <c:v>16.8</c:v>
                </c:pt>
                <c:pt idx="151">
                  <c:v>16.8</c:v>
                </c:pt>
                <c:pt idx="152">
                  <c:v>17</c:v>
                </c:pt>
                <c:pt idx="153">
                  <c:v>17</c:v>
                </c:pt>
                <c:pt idx="154">
                  <c:v>16.899999999999999</c:v>
                </c:pt>
                <c:pt idx="155">
                  <c:v>17.3</c:v>
                </c:pt>
                <c:pt idx="156">
                  <c:v>17.2</c:v>
                </c:pt>
                <c:pt idx="157">
                  <c:v>17</c:v>
                </c:pt>
                <c:pt idx="158">
                  <c:v>17.100000000000001</c:v>
                </c:pt>
                <c:pt idx="159">
                  <c:v>17</c:v>
                </c:pt>
                <c:pt idx="160">
                  <c:v>16.899999999999999</c:v>
                </c:pt>
                <c:pt idx="161">
                  <c:v>16.899999999999999</c:v>
                </c:pt>
                <c:pt idx="162">
                  <c:v>16.8</c:v>
                </c:pt>
                <c:pt idx="163">
                  <c:v>16.8</c:v>
                </c:pt>
                <c:pt idx="164">
                  <c:v>16.8</c:v>
                </c:pt>
                <c:pt idx="165">
                  <c:v>16.7</c:v>
                </c:pt>
                <c:pt idx="166">
                  <c:v>16.7</c:v>
                </c:pt>
                <c:pt idx="167">
                  <c:v>16.8</c:v>
                </c:pt>
                <c:pt idx="168">
                  <c:v>16.8</c:v>
                </c:pt>
                <c:pt idx="169">
                  <c:v>16.7</c:v>
                </c:pt>
                <c:pt idx="170">
                  <c:v>16.7</c:v>
                </c:pt>
                <c:pt idx="171">
                  <c:v>16.7</c:v>
                </c:pt>
                <c:pt idx="172">
                  <c:v>16.7</c:v>
                </c:pt>
                <c:pt idx="173">
                  <c:v>16.7</c:v>
                </c:pt>
                <c:pt idx="174">
                  <c:v>16.7</c:v>
                </c:pt>
                <c:pt idx="175">
                  <c:v>16.7</c:v>
                </c:pt>
                <c:pt idx="176">
                  <c:v>16.7</c:v>
                </c:pt>
                <c:pt idx="177">
                  <c:v>16.7</c:v>
                </c:pt>
                <c:pt idx="178">
                  <c:v>16.7</c:v>
                </c:pt>
                <c:pt idx="179">
                  <c:v>16.7</c:v>
                </c:pt>
                <c:pt idx="180">
                  <c:v>16.8</c:v>
                </c:pt>
                <c:pt idx="181">
                  <c:v>16.7</c:v>
                </c:pt>
                <c:pt idx="182">
                  <c:v>16.7</c:v>
                </c:pt>
                <c:pt idx="183">
                  <c:v>16.8</c:v>
                </c:pt>
                <c:pt idx="184">
                  <c:v>16.7</c:v>
                </c:pt>
                <c:pt idx="185">
                  <c:v>16.8</c:v>
                </c:pt>
                <c:pt idx="186">
                  <c:v>16.8</c:v>
                </c:pt>
                <c:pt idx="187">
                  <c:v>16.8</c:v>
                </c:pt>
                <c:pt idx="188">
                  <c:v>16.8</c:v>
                </c:pt>
                <c:pt idx="189">
                  <c:v>16.8</c:v>
                </c:pt>
                <c:pt idx="190">
                  <c:v>16.8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</c:v>
                </c:pt>
                <c:pt idx="196">
                  <c:v>16.899999999999999</c:v>
                </c:pt>
                <c:pt idx="197">
                  <c:v>16.899999999999999</c:v>
                </c:pt>
                <c:pt idx="198">
                  <c:v>16.899999999999999</c:v>
                </c:pt>
                <c:pt idx="199">
                  <c:v>16.899999999999999</c:v>
                </c:pt>
                <c:pt idx="200">
                  <c:v>17</c:v>
                </c:pt>
                <c:pt idx="201">
                  <c:v>16.899999999999999</c:v>
                </c:pt>
                <c:pt idx="202">
                  <c:v>16.899999999999999</c:v>
                </c:pt>
                <c:pt idx="203">
                  <c:v>16.899999999999999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16.899999999999999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Tabelle1!$E$1</c:f>
              <c:strCache>
                <c:ptCount val="1"/>
                <c:pt idx="0">
                  <c:v>Temp 3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Tabelle1!$E$2:$E$208</c:f>
              <c:numCache>
                <c:formatCode>0.0</c:formatCode>
                <c:ptCount val="207"/>
                <c:pt idx="0">
                  <c:v>17.600000000000001</c:v>
                </c:pt>
                <c:pt idx="1">
                  <c:v>17.600000000000001</c:v>
                </c:pt>
                <c:pt idx="2">
                  <c:v>17.399999999999999</c:v>
                </c:pt>
                <c:pt idx="3">
                  <c:v>17.399999999999999</c:v>
                </c:pt>
                <c:pt idx="4">
                  <c:v>17.3</c:v>
                </c:pt>
                <c:pt idx="5">
                  <c:v>17.3</c:v>
                </c:pt>
                <c:pt idx="6">
                  <c:v>17.2</c:v>
                </c:pt>
                <c:pt idx="7">
                  <c:v>17.2</c:v>
                </c:pt>
                <c:pt idx="8">
                  <c:v>17.100000000000001</c:v>
                </c:pt>
                <c:pt idx="9">
                  <c:v>17.100000000000001</c:v>
                </c:pt>
                <c:pt idx="10">
                  <c:v>17.100000000000001</c:v>
                </c:pt>
                <c:pt idx="11">
                  <c:v>17.100000000000001</c:v>
                </c:pt>
                <c:pt idx="12">
                  <c:v>17.100000000000001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16.899999999999999</c:v>
                </c:pt>
                <c:pt idx="23">
                  <c:v>16.899999999999999</c:v>
                </c:pt>
                <c:pt idx="24">
                  <c:v>16.899999999999999</c:v>
                </c:pt>
                <c:pt idx="25">
                  <c:v>16.899999999999999</c:v>
                </c:pt>
                <c:pt idx="26">
                  <c:v>16.899999999999999</c:v>
                </c:pt>
                <c:pt idx="27">
                  <c:v>16.899999999999999</c:v>
                </c:pt>
                <c:pt idx="28">
                  <c:v>16.899999999999999</c:v>
                </c:pt>
                <c:pt idx="29">
                  <c:v>16.899999999999999</c:v>
                </c:pt>
                <c:pt idx="30">
                  <c:v>16.899999999999999</c:v>
                </c:pt>
                <c:pt idx="31">
                  <c:v>16.899999999999999</c:v>
                </c:pt>
                <c:pt idx="32">
                  <c:v>16.899999999999999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16.899999999999999</c:v>
                </c:pt>
                <c:pt idx="38">
                  <c:v>16.899999999999999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16.899999999999999</c:v>
                </c:pt>
                <c:pt idx="42">
                  <c:v>16.899999999999999</c:v>
                </c:pt>
                <c:pt idx="43">
                  <c:v>16.899999999999999</c:v>
                </c:pt>
                <c:pt idx="44">
                  <c:v>16.899999999999999</c:v>
                </c:pt>
                <c:pt idx="45">
                  <c:v>16.899999999999999</c:v>
                </c:pt>
                <c:pt idx="46">
                  <c:v>16.899999999999999</c:v>
                </c:pt>
                <c:pt idx="47">
                  <c:v>17</c:v>
                </c:pt>
                <c:pt idx="48">
                  <c:v>17.100000000000001</c:v>
                </c:pt>
                <c:pt idx="49">
                  <c:v>17.2</c:v>
                </c:pt>
                <c:pt idx="50">
                  <c:v>17.3</c:v>
                </c:pt>
                <c:pt idx="51">
                  <c:v>17.399999999999999</c:v>
                </c:pt>
                <c:pt idx="52">
                  <c:v>17.399999999999999</c:v>
                </c:pt>
                <c:pt idx="53">
                  <c:v>17.399999999999999</c:v>
                </c:pt>
                <c:pt idx="54">
                  <c:v>17.5</c:v>
                </c:pt>
                <c:pt idx="55">
                  <c:v>17.600000000000001</c:v>
                </c:pt>
                <c:pt idx="56">
                  <c:v>17.399999999999999</c:v>
                </c:pt>
                <c:pt idx="57">
                  <c:v>17.600000000000001</c:v>
                </c:pt>
                <c:pt idx="58">
                  <c:v>17.5</c:v>
                </c:pt>
                <c:pt idx="59">
                  <c:v>17.3</c:v>
                </c:pt>
                <c:pt idx="60">
                  <c:v>17.3</c:v>
                </c:pt>
                <c:pt idx="61">
                  <c:v>17.3</c:v>
                </c:pt>
                <c:pt idx="62">
                  <c:v>17.3</c:v>
                </c:pt>
                <c:pt idx="63">
                  <c:v>17.399999999999999</c:v>
                </c:pt>
                <c:pt idx="64">
                  <c:v>17.399999999999999</c:v>
                </c:pt>
                <c:pt idx="65">
                  <c:v>17.3</c:v>
                </c:pt>
                <c:pt idx="66">
                  <c:v>17.5</c:v>
                </c:pt>
                <c:pt idx="67">
                  <c:v>17.8</c:v>
                </c:pt>
                <c:pt idx="68">
                  <c:v>17.7</c:v>
                </c:pt>
                <c:pt idx="69">
                  <c:v>17.5</c:v>
                </c:pt>
                <c:pt idx="70">
                  <c:v>17.399999999999999</c:v>
                </c:pt>
                <c:pt idx="71">
                  <c:v>17.3</c:v>
                </c:pt>
                <c:pt idx="72">
                  <c:v>17.3</c:v>
                </c:pt>
                <c:pt idx="73">
                  <c:v>17.3</c:v>
                </c:pt>
                <c:pt idx="74">
                  <c:v>17.3</c:v>
                </c:pt>
                <c:pt idx="75">
                  <c:v>17.2</c:v>
                </c:pt>
                <c:pt idx="76">
                  <c:v>17.2</c:v>
                </c:pt>
                <c:pt idx="77">
                  <c:v>17.2</c:v>
                </c:pt>
                <c:pt idx="78">
                  <c:v>17.2</c:v>
                </c:pt>
                <c:pt idx="79">
                  <c:v>17.2</c:v>
                </c:pt>
                <c:pt idx="80">
                  <c:v>17.2</c:v>
                </c:pt>
                <c:pt idx="81">
                  <c:v>17.2</c:v>
                </c:pt>
                <c:pt idx="82">
                  <c:v>17.2</c:v>
                </c:pt>
                <c:pt idx="83">
                  <c:v>17.2</c:v>
                </c:pt>
                <c:pt idx="84">
                  <c:v>17.2</c:v>
                </c:pt>
                <c:pt idx="85">
                  <c:v>17.2</c:v>
                </c:pt>
                <c:pt idx="86">
                  <c:v>17.2</c:v>
                </c:pt>
                <c:pt idx="87">
                  <c:v>17.5</c:v>
                </c:pt>
                <c:pt idx="88">
                  <c:v>18.3</c:v>
                </c:pt>
                <c:pt idx="89">
                  <c:v>18.100000000000001</c:v>
                </c:pt>
                <c:pt idx="90">
                  <c:v>17.7</c:v>
                </c:pt>
                <c:pt idx="91">
                  <c:v>17.5</c:v>
                </c:pt>
                <c:pt idx="92">
                  <c:v>17.399999999999999</c:v>
                </c:pt>
                <c:pt idx="93">
                  <c:v>17.3</c:v>
                </c:pt>
                <c:pt idx="94">
                  <c:v>17.3</c:v>
                </c:pt>
                <c:pt idx="95">
                  <c:v>17.5</c:v>
                </c:pt>
                <c:pt idx="96">
                  <c:v>17.5</c:v>
                </c:pt>
                <c:pt idx="97">
                  <c:v>17.399999999999999</c:v>
                </c:pt>
                <c:pt idx="98">
                  <c:v>17.3</c:v>
                </c:pt>
                <c:pt idx="99">
                  <c:v>17.3</c:v>
                </c:pt>
                <c:pt idx="100">
                  <c:v>17.2</c:v>
                </c:pt>
                <c:pt idx="101">
                  <c:v>17.2</c:v>
                </c:pt>
                <c:pt idx="102">
                  <c:v>12.6</c:v>
                </c:pt>
                <c:pt idx="103">
                  <c:v>8.8000000000000007</c:v>
                </c:pt>
                <c:pt idx="104">
                  <c:v>6</c:v>
                </c:pt>
                <c:pt idx="105">
                  <c:v>5.4</c:v>
                </c:pt>
                <c:pt idx="106">
                  <c:v>5.8</c:v>
                </c:pt>
                <c:pt idx="107">
                  <c:v>6.5</c:v>
                </c:pt>
                <c:pt idx="108">
                  <c:v>7.2</c:v>
                </c:pt>
                <c:pt idx="109">
                  <c:v>8.3000000000000007</c:v>
                </c:pt>
                <c:pt idx="110">
                  <c:v>8.6</c:v>
                </c:pt>
                <c:pt idx="111">
                  <c:v>8.9</c:v>
                </c:pt>
                <c:pt idx="112">
                  <c:v>9.4</c:v>
                </c:pt>
                <c:pt idx="113">
                  <c:v>10</c:v>
                </c:pt>
                <c:pt idx="114">
                  <c:v>10.5</c:v>
                </c:pt>
                <c:pt idx="115">
                  <c:v>11</c:v>
                </c:pt>
                <c:pt idx="116">
                  <c:v>11.5</c:v>
                </c:pt>
                <c:pt idx="117">
                  <c:v>11.9</c:v>
                </c:pt>
                <c:pt idx="118">
                  <c:v>12.5</c:v>
                </c:pt>
                <c:pt idx="119">
                  <c:v>12.7</c:v>
                </c:pt>
                <c:pt idx="120">
                  <c:v>13</c:v>
                </c:pt>
                <c:pt idx="121">
                  <c:v>14.4</c:v>
                </c:pt>
                <c:pt idx="122">
                  <c:v>15.3</c:v>
                </c:pt>
                <c:pt idx="123">
                  <c:v>15.5</c:v>
                </c:pt>
                <c:pt idx="124">
                  <c:v>15.7</c:v>
                </c:pt>
                <c:pt idx="125">
                  <c:v>15.8</c:v>
                </c:pt>
                <c:pt idx="126">
                  <c:v>15.9</c:v>
                </c:pt>
                <c:pt idx="127">
                  <c:v>15.9</c:v>
                </c:pt>
                <c:pt idx="128">
                  <c:v>16</c:v>
                </c:pt>
                <c:pt idx="129">
                  <c:v>16</c:v>
                </c:pt>
                <c:pt idx="130">
                  <c:v>16.100000000000001</c:v>
                </c:pt>
                <c:pt idx="131">
                  <c:v>16.100000000000001</c:v>
                </c:pt>
                <c:pt idx="132">
                  <c:v>16.2</c:v>
                </c:pt>
                <c:pt idx="133">
                  <c:v>16.2</c:v>
                </c:pt>
                <c:pt idx="134">
                  <c:v>16.3</c:v>
                </c:pt>
                <c:pt idx="135">
                  <c:v>16.3</c:v>
                </c:pt>
                <c:pt idx="136">
                  <c:v>16.3</c:v>
                </c:pt>
                <c:pt idx="137">
                  <c:v>16.399999999999999</c:v>
                </c:pt>
                <c:pt idx="138">
                  <c:v>16.399999999999999</c:v>
                </c:pt>
                <c:pt idx="139">
                  <c:v>16.5</c:v>
                </c:pt>
                <c:pt idx="140">
                  <c:v>16.5</c:v>
                </c:pt>
                <c:pt idx="141">
                  <c:v>16.5</c:v>
                </c:pt>
                <c:pt idx="142">
                  <c:v>16.5</c:v>
                </c:pt>
                <c:pt idx="143">
                  <c:v>16.600000000000001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16.600000000000001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16.600000000000001</c:v>
                </c:pt>
                <c:pt idx="150">
                  <c:v>16.7</c:v>
                </c:pt>
                <c:pt idx="151">
                  <c:v>16.7</c:v>
                </c:pt>
                <c:pt idx="152">
                  <c:v>16.8</c:v>
                </c:pt>
                <c:pt idx="153">
                  <c:v>16.8</c:v>
                </c:pt>
                <c:pt idx="154">
                  <c:v>16.8</c:v>
                </c:pt>
                <c:pt idx="155">
                  <c:v>17.100000000000001</c:v>
                </c:pt>
                <c:pt idx="156">
                  <c:v>17.100000000000001</c:v>
                </c:pt>
                <c:pt idx="157">
                  <c:v>16.899999999999999</c:v>
                </c:pt>
                <c:pt idx="158">
                  <c:v>17</c:v>
                </c:pt>
                <c:pt idx="159">
                  <c:v>16.899999999999999</c:v>
                </c:pt>
                <c:pt idx="160">
                  <c:v>16.8</c:v>
                </c:pt>
                <c:pt idx="161">
                  <c:v>16.7</c:v>
                </c:pt>
                <c:pt idx="162">
                  <c:v>16.7</c:v>
                </c:pt>
                <c:pt idx="163">
                  <c:v>16.7</c:v>
                </c:pt>
                <c:pt idx="164">
                  <c:v>16.7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16.600000000000001</c:v>
                </c:pt>
                <c:pt idx="169">
                  <c:v>16.600000000000001</c:v>
                </c:pt>
                <c:pt idx="170">
                  <c:v>16.600000000000001</c:v>
                </c:pt>
                <c:pt idx="171">
                  <c:v>16.600000000000001</c:v>
                </c:pt>
                <c:pt idx="172">
                  <c:v>16.600000000000001</c:v>
                </c:pt>
                <c:pt idx="173">
                  <c:v>16.600000000000001</c:v>
                </c:pt>
                <c:pt idx="174">
                  <c:v>16.600000000000001</c:v>
                </c:pt>
                <c:pt idx="175">
                  <c:v>16.600000000000001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16.600000000000001</c:v>
                </c:pt>
                <c:pt idx="179">
                  <c:v>16.600000000000001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16.7</c:v>
                </c:pt>
                <c:pt idx="184">
                  <c:v>16.600000000000001</c:v>
                </c:pt>
                <c:pt idx="185">
                  <c:v>16.7</c:v>
                </c:pt>
                <c:pt idx="186">
                  <c:v>16.7</c:v>
                </c:pt>
                <c:pt idx="187">
                  <c:v>16.7</c:v>
                </c:pt>
                <c:pt idx="188">
                  <c:v>16.7</c:v>
                </c:pt>
                <c:pt idx="189">
                  <c:v>16.7</c:v>
                </c:pt>
                <c:pt idx="190">
                  <c:v>16.7</c:v>
                </c:pt>
                <c:pt idx="191">
                  <c:v>16.7</c:v>
                </c:pt>
                <c:pt idx="192">
                  <c:v>16.7</c:v>
                </c:pt>
                <c:pt idx="193">
                  <c:v>16.8</c:v>
                </c:pt>
                <c:pt idx="194">
                  <c:v>16.8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</c:v>
                </c:pt>
                <c:pt idx="202">
                  <c:v>16.8</c:v>
                </c:pt>
                <c:pt idx="203">
                  <c:v>16.8</c:v>
                </c:pt>
                <c:pt idx="204">
                  <c:v>16.8</c:v>
                </c:pt>
                <c:pt idx="205">
                  <c:v>16.8</c:v>
                </c:pt>
                <c:pt idx="206">
                  <c:v>16.8</c:v>
                </c:pt>
              </c:numCache>
            </c:numRef>
          </c:yVal>
          <c:smooth val="1"/>
        </c:ser>
        <c:axId val="38329728"/>
        <c:axId val="38544512"/>
      </c:scatterChart>
      <c:scatterChart>
        <c:scatterStyle val="smoothMarker"/>
        <c:ser>
          <c:idx val="3"/>
          <c:order val="3"/>
          <c:tx>
            <c:strRef>
              <c:f>Tabelle1!$I$1</c:f>
              <c:strCache>
                <c:ptCount val="1"/>
                <c:pt idx="0">
                  <c:v>Light 1</c:v>
                </c:pt>
              </c:strCache>
            </c:strRef>
          </c:tx>
          <c:spPr>
            <a:ln w="12700"/>
          </c:spPr>
          <c:marker>
            <c:symbol val="none"/>
          </c:marker>
          <c:trendline>
            <c:spPr>
              <a:ln w="22225">
                <a:solidFill>
                  <a:srgbClr val="FF0000"/>
                </a:solidFill>
              </a:ln>
            </c:spPr>
            <c:trendlineType val="movingAvg"/>
            <c:period val="5"/>
          </c:trendline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Tabelle1!$I$2:$I$208</c:f>
              <c:numCache>
                <c:formatCode>0.0</c:formatCode>
                <c:ptCount val="2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0.10116797216247364</c:v>
                </c:pt>
                <c:pt idx="41">
                  <c:v>3.211708549768356</c:v>
                </c:pt>
                <c:pt idx="42">
                  <c:v>12.247372604433453</c:v>
                </c:pt>
                <c:pt idx="43">
                  <c:v>23.968789013732835</c:v>
                </c:pt>
                <c:pt idx="44">
                  <c:v>40.823504809703053</c:v>
                </c:pt>
                <c:pt idx="45">
                  <c:v>62.237774030354132</c:v>
                </c:pt>
                <c:pt idx="46">
                  <c:v>104.41110330288124</c:v>
                </c:pt>
                <c:pt idx="47">
                  <c:v>165.02102933038185</c:v>
                </c:pt>
                <c:pt idx="48">
                  <c:v>219.75055187637969</c:v>
                </c:pt>
                <c:pt idx="49">
                  <c:v>242.50649350649348</c:v>
                </c:pt>
                <c:pt idx="50">
                  <c:v>263.31718061674007</c:v>
                </c:pt>
                <c:pt idx="51">
                  <c:v>274.73529411764707</c:v>
                </c:pt>
                <c:pt idx="52">
                  <c:v>314.45741324921136</c:v>
                </c:pt>
                <c:pt idx="53">
                  <c:v>655.45514223194743</c:v>
                </c:pt>
                <c:pt idx="54">
                  <c:v>311.5</c:v>
                </c:pt>
                <c:pt idx="55">
                  <c:v>217.02325581395348</c:v>
                </c:pt>
                <c:pt idx="56">
                  <c:v>215.13832853025934</c:v>
                </c:pt>
                <c:pt idx="57">
                  <c:v>209.23125437981778</c:v>
                </c:pt>
                <c:pt idx="58">
                  <c:v>185.79950186799502</c:v>
                </c:pt>
                <c:pt idx="59">
                  <c:v>211.91696238466997</c:v>
                </c:pt>
                <c:pt idx="60">
                  <c:v>189.59720457433292</c:v>
                </c:pt>
                <c:pt idx="61">
                  <c:v>170.42857142857142</c:v>
                </c:pt>
                <c:pt idx="62">
                  <c:v>187.91687657430728</c:v>
                </c:pt>
                <c:pt idx="63">
                  <c:v>175.3668430335097</c:v>
                </c:pt>
                <c:pt idx="64">
                  <c:v>186.03241895261846</c:v>
                </c:pt>
                <c:pt idx="65">
                  <c:v>240.54589371980677</c:v>
                </c:pt>
                <c:pt idx="66">
                  <c:v>186.85222291797118</c:v>
                </c:pt>
                <c:pt idx="67">
                  <c:v>188.51358180669615</c:v>
                </c:pt>
                <c:pt idx="68">
                  <c:v>171.61219792865361</c:v>
                </c:pt>
                <c:pt idx="69">
                  <c:v>162.1321370309951</c:v>
                </c:pt>
                <c:pt idx="70">
                  <c:v>154.68240788790865</c:v>
                </c:pt>
                <c:pt idx="71">
                  <c:v>143.92753623188406</c:v>
                </c:pt>
                <c:pt idx="72">
                  <c:v>137.1851681252879</c:v>
                </c:pt>
                <c:pt idx="73">
                  <c:v>136.99448022079119</c:v>
                </c:pt>
                <c:pt idx="74">
                  <c:v>135.67425968109339</c:v>
                </c:pt>
                <c:pt idx="75">
                  <c:v>101.21465076660988</c:v>
                </c:pt>
                <c:pt idx="76">
                  <c:v>90.130012150668293</c:v>
                </c:pt>
                <c:pt idx="77">
                  <c:v>80.015392924655686</c:v>
                </c:pt>
                <c:pt idx="78">
                  <c:v>78.914757591901974</c:v>
                </c:pt>
                <c:pt idx="79">
                  <c:v>71.358900144717794</c:v>
                </c:pt>
                <c:pt idx="80">
                  <c:v>64.97756762700682</c:v>
                </c:pt>
                <c:pt idx="81">
                  <c:v>60.475409836065573</c:v>
                </c:pt>
                <c:pt idx="82">
                  <c:v>56.903879559930516</c:v>
                </c:pt>
                <c:pt idx="83">
                  <c:v>46.938638542665387</c:v>
                </c:pt>
                <c:pt idx="84">
                  <c:v>41.759407069555301</c:v>
                </c:pt>
                <c:pt idx="85">
                  <c:v>32.545790003354576</c:v>
                </c:pt>
                <c:pt idx="86">
                  <c:v>25.951756356122541</c:v>
                </c:pt>
                <c:pt idx="87">
                  <c:v>21.749677712899064</c:v>
                </c:pt>
                <c:pt idx="88">
                  <c:v>16.304031839418585</c:v>
                </c:pt>
                <c:pt idx="89">
                  <c:v>12.308490817141337</c:v>
                </c:pt>
                <c:pt idx="90">
                  <c:v>9.270455323519343</c:v>
                </c:pt>
                <c:pt idx="91">
                  <c:v>5.4505031392448613</c:v>
                </c:pt>
                <c:pt idx="92">
                  <c:v>1.7532534278005176</c:v>
                </c:pt>
                <c:pt idx="93">
                  <c:v>0.29339892302982995</c:v>
                </c:pt>
                <c:pt idx="94">
                  <c:v>76.559462254395044</c:v>
                </c:pt>
                <c:pt idx="95">
                  <c:v>62.545858928193176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26.586206896551722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7.7648140697741175E-2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2.1130595795664897E-2</c:v>
                </c:pt>
                <c:pt idx="155">
                  <c:v>0.20089346473776493</c:v>
                </c:pt>
                <c:pt idx="156">
                  <c:v>0.2457281904137063</c:v>
                </c:pt>
                <c:pt idx="157">
                  <c:v>0.45700381735000151</c:v>
                </c:pt>
                <c:pt idx="158">
                  <c:v>1.014978003156799</c:v>
                </c:pt>
                <c:pt idx="159">
                  <c:v>1.7650024424188238</c:v>
                </c:pt>
                <c:pt idx="160">
                  <c:v>3.8231511254019299</c:v>
                </c:pt>
                <c:pt idx="161">
                  <c:v>4.7850283466388985</c:v>
                </c:pt>
                <c:pt idx="162">
                  <c:v>6.6663600122661757</c:v>
                </c:pt>
                <c:pt idx="163">
                  <c:v>7.9979304759905219</c:v>
                </c:pt>
                <c:pt idx="164">
                  <c:v>9.1276078590236978</c:v>
                </c:pt>
                <c:pt idx="165">
                  <c:v>9.9457092819614719</c:v>
                </c:pt>
                <c:pt idx="166">
                  <c:v>11.448649321548611</c:v>
                </c:pt>
                <c:pt idx="167">
                  <c:v>12.686131386861314</c:v>
                </c:pt>
                <c:pt idx="168">
                  <c:v>14.043626516899009</c:v>
                </c:pt>
                <c:pt idx="169">
                  <c:v>16.176228100309171</c:v>
                </c:pt>
                <c:pt idx="170">
                  <c:v>17.306077617769098</c:v>
                </c:pt>
                <c:pt idx="171">
                  <c:v>18.564366766662321</c:v>
                </c:pt>
                <c:pt idx="172">
                  <c:v>20.751740139211137</c:v>
                </c:pt>
                <c:pt idx="173">
                  <c:v>22.094688221709006</c:v>
                </c:pt>
                <c:pt idx="174">
                  <c:v>23.131274131274132</c:v>
                </c:pt>
                <c:pt idx="175">
                  <c:v>24.606008876749744</c:v>
                </c:pt>
                <c:pt idx="176">
                  <c:v>26.849981433345711</c:v>
                </c:pt>
                <c:pt idx="177">
                  <c:v>28.913251570445709</c:v>
                </c:pt>
                <c:pt idx="178">
                  <c:v>30.499370012599748</c:v>
                </c:pt>
                <c:pt idx="179">
                  <c:v>32.489618218352312</c:v>
                </c:pt>
                <c:pt idx="180">
                  <c:v>32.564555829044529</c:v>
                </c:pt>
                <c:pt idx="181">
                  <c:v>32.478406427854033</c:v>
                </c:pt>
                <c:pt idx="182">
                  <c:v>33.419458467186779</c:v>
                </c:pt>
                <c:pt idx="183">
                  <c:v>35.670333700036672</c:v>
                </c:pt>
                <c:pt idx="184">
                  <c:v>37.819875776397517</c:v>
                </c:pt>
                <c:pt idx="185">
                  <c:v>37.530696121243253</c:v>
                </c:pt>
                <c:pt idx="186">
                  <c:v>37.343558282208591</c:v>
                </c:pt>
                <c:pt idx="187">
                  <c:v>36.206994915044028</c:v>
                </c:pt>
                <c:pt idx="188">
                  <c:v>35.83241252302026</c:v>
                </c:pt>
                <c:pt idx="189">
                  <c:v>36.25319756612442</c:v>
                </c:pt>
                <c:pt idx="190">
                  <c:v>32.68137420006736</c:v>
                </c:pt>
                <c:pt idx="191">
                  <c:v>29.73140749846343</c:v>
                </c:pt>
                <c:pt idx="192">
                  <c:v>29.009002700810242</c:v>
                </c:pt>
                <c:pt idx="193">
                  <c:v>25.382903878286868</c:v>
                </c:pt>
                <c:pt idx="194">
                  <c:v>24.008336112037348</c:v>
                </c:pt>
                <c:pt idx="195">
                  <c:v>22.986567522187574</c:v>
                </c:pt>
                <c:pt idx="196">
                  <c:v>20.125272868107878</c:v>
                </c:pt>
                <c:pt idx="197">
                  <c:v>16.019345322516592</c:v>
                </c:pt>
                <c:pt idx="198">
                  <c:v>12.756419662509172</c:v>
                </c:pt>
                <c:pt idx="199">
                  <c:v>10.278619496973569</c:v>
                </c:pt>
                <c:pt idx="200">
                  <c:v>7.898644439830333</c:v>
                </c:pt>
                <c:pt idx="201">
                  <c:v>4.6241915224686458</c:v>
                </c:pt>
                <c:pt idx="202">
                  <c:v>2.026359592046727</c:v>
                </c:pt>
                <c:pt idx="203">
                  <c:v>0.68252917786015943</c:v>
                </c:pt>
                <c:pt idx="204">
                  <c:v>0.28491763677948234</c:v>
                </c:pt>
                <c:pt idx="205">
                  <c:v>7.6886645102129947E-3</c:v>
                </c:pt>
                <c:pt idx="206">
                  <c:v>0</c:v>
                </c:pt>
              </c:numCache>
            </c:numRef>
          </c:yVal>
          <c:smooth val="1"/>
        </c:ser>
        <c:axId val="38597760"/>
        <c:axId val="38592896"/>
      </c:scatterChart>
      <c:valAx>
        <c:axId val="38329728"/>
        <c:scaling>
          <c:orientation val="minMax"/>
          <c:max val="43384.800000000003"/>
          <c:min val="43382.9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</c:title>
        <c:numFmt formatCode="dd\.mm\.yy\ \ \ hh:mm" sourceLinked="1"/>
        <c:tickLblPos val="nextTo"/>
        <c:txPr>
          <a:bodyPr rot="-900000"/>
          <a:lstStyle/>
          <a:p>
            <a:pPr>
              <a:defRPr/>
            </a:pPr>
            <a:endParaRPr lang="de-DE"/>
          </a:p>
        </c:txPr>
        <c:crossAx val="38544512"/>
        <c:crosses val="autoZero"/>
        <c:crossBetween val="midCat"/>
      </c:valAx>
      <c:valAx>
        <c:axId val="385445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</c:title>
        <c:numFmt formatCode="0.0" sourceLinked="1"/>
        <c:tickLblPos val="nextTo"/>
        <c:crossAx val="38329728"/>
        <c:crosses val="autoZero"/>
        <c:crossBetween val="midCat"/>
      </c:valAx>
      <c:valAx>
        <c:axId val="38592896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Light</a:t>
                </a:r>
              </a:p>
            </c:rich>
          </c:tx>
          <c:layout/>
        </c:title>
        <c:numFmt formatCode="0.0" sourceLinked="1"/>
        <c:tickLblPos val="nextTo"/>
        <c:crossAx val="38597760"/>
        <c:crosses val="max"/>
        <c:crossBetween val="midCat"/>
      </c:valAx>
      <c:valAx>
        <c:axId val="38597760"/>
        <c:scaling>
          <c:orientation val="minMax"/>
        </c:scaling>
        <c:delete val="1"/>
        <c:axPos val="b"/>
        <c:numFmt formatCode="dd\.mm\.yy\ \ \ hh:mm" sourceLinked="1"/>
        <c:tickLblPos val="none"/>
        <c:crossAx val="38592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311873245086245"/>
          <c:y val="0.28400473741091958"/>
          <c:w val="0.16382872041716806"/>
          <c:h val="0.23326771653543307"/>
        </c:manualLayout>
      </c:layout>
      <c:overlay val="1"/>
      <c:spPr>
        <a:solidFill>
          <a:sysClr val="window" lastClr="FFFFFF">
            <a:lumMod val="85000"/>
          </a:sysClr>
        </a:solidFill>
      </c:spPr>
    </c:legend>
    <c:plotVisOnly val="1"/>
  </c:chart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Humidity and Lightlevel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Tabelle1!$F$1</c:f>
              <c:strCache>
                <c:ptCount val="1"/>
                <c:pt idx="0">
                  <c:v>Hum 1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Tabelle1!$F$2:$F$208</c:f>
              <c:numCache>
                <c:formatCode>0.0%</c:formatCode>
                <c:ptCount val="207"/>
                <c:pt idx="0">
                  <c:v>0.746</c:v>
                </c:pt>
                <c:pt idx="1">
                  <c:v>0.746</c:v>
                </c:pt>
                <c:pt idx="2">
                  <c:v>0.748</c:v>
                </c:pt>
                <c:pt idx="3">
                  <c:v>0.749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0.751</c:v>
                </c:pt>
                <c:pt idx="8">
                  <c:v>0.75</c:v>
                </c:pt>
                <c:pt idx="9">
                  <c:v>0.751</c:v>
                </c:pt>
                <c:pt idx="10">
                  <c:v>0.751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0.749</c:v>
                </c:pt>
                <c:pt idx="16">
                  <c:v>0.748</c:v>
                </c:pt>
                <c:pt idx="17">
                  <c:v>0.748</c:v>
                </c:pt>
                <c:pt idx="18">
                  <c:v>0.748</c:v>
                </c:pt>
                <c:pt idx="19">
                  <c:v>0.748</c:v>
                </c:pt>
                <c:pt idx="20">
                  <c:v>0.747</c:v>
                </c:pt>
                <c:pt idx="21">
                  <c:v>0.747</c:v>
                </c:pt>
                <c:pt idx="22">
                  <c:v>0.747</c:v>
                </c:pt>
                <c:pt idx="23">
                  <c:v>0.747</c:v>
                </c:pt>
                <c:pt idx="24">
                  <c:v>0.747</c:v>
                </c:pt>
                <c:pt idx="25">
                  <c:v>0.746</c:v>
                </c:pt>
                <c:pt idx="26">
                  <c:v>0.747</c:v>
                </c:pt>
                <c:pt idx="27">
                  <c:v>0.747</c:v>
                </c:pt>
                <c:pt idx="28">
                  <c:v>0.747</c:v>
                </c:pt>
                <c:pt idx="29">
                  <c:v>0.746</c:v>
                </c:pt>
                <c:pt idx="30">
                  <c:v>0.746</c:v>
                </c:pt>
                <c:pt idx="31">
                  <c:v>0.746</c:v>
                </c:pt>
                <c:pt idx="32">
                  <c:v>0.746</c:v>
                </c:pt>
                <c:pt idx="33">
                  <c:v>0.746</c:v>
                </c:pt>
                <c:pt idx="34">
                  <c:v>0.746</c:v>
                </c:pt>
                <c:pt idx="35">
                  <c:v>0.746</c:v>
                </c:pt>
                <c:pt idx="36">
                  <c:v>0.746</c:v>
                </c:pt>
                <c:pt idx="37">
                  <c:v>0.746</c:v>
                </c:pt>
                <c:pt idx="38">
                  <c:v>0.74399999999999999</c:v>
                </c:pt>
                <c:pt idx="39">
                  <c:v>0.745</c:v>
                </c:pt>
                <c:pt idx="40">
                  <c:v>0.747</c:v>
                </c:pt>
                <c:pt idx="41">
                  <c:v>0.751</c:v>
                </c:pt>
                <c:pt idx="42">
                  <c:v>0.75900000000000001</c:v>
                </c:pt>
                <c:pt idx="43">
                  <c:v>0.76500000000000001</c:v>
                </c:pt>
                <c:pt idx="44">
                  <c:v>0.76600000000000001</c:v>
                </c:pt>
                <c:pt idx="45">
                  <c:v>0.76500000000000001</c:v>
                </c:pt>
                <c:pt idx="46">
                  <c:v>0.76300000000000001</c:v>
                </c:pt>
                <c:pt idx="47">
                  <c:v>0.77500000000000002</c:v>
                </c:pt>
                <c:pt idx="48">
                  <c:v>0.77600000000000002</c:v>
                </c:pt>
                <c:pt idx="49">
                  <c:v>0.77</c:v>
                </c:pt>
                <c:pt idx="50">
                  <c:v>0.76200000000000001</c:v>
                </c:pt>
                <c:pt idx="51">
                  <c:v>0.75600000000000001</c:v>
                </c:pt>
                <c:pt idx="52">
                  <c:v>0.73799999999999999</c:v>
                </c:pt>
                <c:pt idx="53">
                  <c:v>0.71199999999999997</c:v>
                </c:pt>
                <c:pt idx="54">
                  <c:v>0.69299999999999995</c:v>
                </c:pt>
                <c:pt idx="55">
                  <c:v>0.68300000000000005</c:v>
                </c:pt>
                <c:pt idx="56">
                  <c:v>0.67700000000000005</c:v>
                </c:pt>
                <c:pt idx="57">
                  <c:v>0.67400000000000004</c:v>
                </c:pt>
                <c:pt idx="58">
                  <c:v>0.66400000000000003</c:v>
                </c:pt>
                <c:pt idx="59">
                  <c:v>0.66</c:v>
                </c:pt>
                <c:pt idx="60">
                  <c:v>0.66</c:v>
                </c:pt>
                <c:pt idx="61">
                  <c:v>0.65200000000000002</c:v>
                </c:pt>
                <c:pt idx="62">
                  <c:v>0.64500000000000002</c:v>
                </c:pt>
                <c:pt idx="63">
                  <c:v>0.64200000000000002</c:v>
                </c:pt>
                <c:pt idx="64">
                  <c:v>0.63600000000000001</c:v>
                </c:pt>
                <c:pt idx="65">
                  <c:v>0.627</c:v>
                </c:pt>
                <c:pt idx="66">
                  <c:v>0.61099999999999999</c:v>
                </c:pt>
                <c:pt idx="67">
                  <c:v>0.59899999999999998</c:v>
                </c:pt>
                <c:pt idx="68">
                  <c:v>0.60199999999999998</c:v>
                </c:pt>
                <c:pt idx="69">
                  <c:v>0.59299999999999997</c:v>
                </c:pt>
                <c:pt idx="70">
                  <c:v>0.59699999999999998</c:v>
                </c:pt>
                <c:pt idx="71">
                  <c:v>0.57799999999999996</c:v>
                </c:pt>
                <c:pt idx="72">
                  <c:v>0.56699999999999995</c:v>
                </c:pt>
                <c:pt idx="73">
                  <c:v>0.56599999999999995</c:v>
                </c:pt>
                <c:pt idx="74">
                  <c:v>0.55900000000000005</c:v>
                </c:pt>
                <c:pt idx="75">
                  <c:v>0.55100000000000005</c:v>
                </c:pt>
                <c:pt idx="76">
                  <c:v>0.55400000000000005</c:v>
                </c:pt>
                <c:pt idx="77">
                  <c:v>0.56000000000000005</c:v>
                </c:pt>
                <c:pt idx="78">
                  <c:v>0.56200000000000006</c:v>
                </c:pt>
                <c:pt idx="79">
                  <c:v>0.57099999999999995</c:v>
                </c:pt>
                <c:pt idx="80">
                  <c:v>0.58099999999999996</c:v>
                </c:pt>
                <c:pt idx="81">
                  <c:v>0.59899999999999998</c:v>
                </c:pt>
                <c:pt idx="82">
                  <c:v>0.61399999999999999</c:v>
                </c:pt>
                <c:pt idx="83">
                  <c:v>0.60499999999999998</c:v>
                </c:pt>
                <c:pt idx="84">
                  <c:v>0.60599999999999998</c:v>
                </c:pt>
                <c:pt idx="85">
                  <c:v>0.61699999999999999</c:v>
                </c:pt>
                <c:pt idx="86">
                  <c:v>0.61299999999999999</c:v>
                </c:pt>
                <c:pt idx="87">
                  <c:v>0.60899999999999999</c:v>
                </c:pt>
                <c:pt idx="88">
                  <c:v>0.84399999999999997</c:v>
                </c:pt>
                <c:pt idx="89">
                  <c:v>0.93700000000000006</c:v>
                </c:pt>
                <c:pt idx="90">
                  <c:v>0.86699999999999999</c:v>
                </c:pt>
                <c:pt idx="91">
                  <c:v>0.79500000000000004</c:v>
                </c:pt>
                <c:pt idx="92">
                  <c:v>0.749</c:v>
                </c:pt>
                <c:pt idx="93">
                  <c:v>0.72099999999999997</c:v>
                </c:pt>
                <c:pt idx="94">
                  <c:v>0.69799999999999995</c:v>
                </c:pt>
                <c:pt idx="95">
                  <c:v>0.67400000000000004</c:v>
                </c:pt>
                <c:pt idx="96">
                  <c:v>0.67700000000000005</c:v>
                </c:pt>
                <c:pt idx="97">
                  <c:v>0.68300000000000005</c:v>
                </c:pt>
                <c:pt idx="98">
                  <c:v>0.68899999999999995</c:v>
                </c:pt>
                <c:pt idx="99">
                  <c:v>0.69799999999999995</c:v>
                </c:pt>
                <c:pt idx="100">
                  <c:v>0.70499999999999996</c:v>
                </c:pt>
                <c:pt idx="101">
                  <c:v>0.70499999999999996</c:v>
                </c:pt>
                <c:pt idx="102">
                  <c:v>0.63</c:v>
                </c:pt>
                <c:pt idx="103">
                  <c:v>0.68400000000000005</c:v>
                </c:pt>
                <c:pt idx="104">
                  <c:v>0.77500000000000002</c:v>
                </c:pt>
                <c:pt idx="105">
                  <c:v>0.82499999999999996</c:v>
                </c:pt>
                <c:pt idx="106">
                  <c:v>0.85199999999999998</c:v>
                </c:pt>
                <c:pt idx="107">
                  <c:v>0.86399999999999999</c:v>
                </c:pt>
                <c:pt idx="108">
                  <c:v>0.872</c:v>
                </c:pt>
                <c:pt idx="109">
                  <c:v>0.90200000000000002</c:v>
                </c:pt>
                <c:pt idx="110">
                  <c:v>0.91700000000000004</c:v>
                </c:pt>
                <c:pt idx="111">
                  <c:v>0.91800000000000004</c:v>
                </c:pt>
                <c:pt idx="112">
                  <c:v>0.91600000000000004</c:v>
                </c:pt>
                <c:pt idx="113">
                  <c:v>0.91400000000000003</c:v>
                </c:pt>
                <c:pt idx="114">
                  <c:v>0.91200000000000003</c:v>
                </c:pt>
                <c:pt idx="115">
                  <c:v>0.90800000000000003</c:v>
                </c:pt>
                <c:pt idx="116">
                  <c:v>0.90600000000000003</c:v>
                </c:pt>
                <c:pt idx="117">
                  <c:v>0.90300000000000002</c:v>
                </c:pt>
                <c:pt idx="118">
                  <c:v>0.86699999999999999</c:v>
                </c:pt>
                <c:pt idx="119">
                  <c:v>0.878</c:v>
                </c:pt>
                <c:pt idx="120">
                  <c:v>0.88300000000000001</c:v>
                </c:pt>
                <c:pt idx="121">
                  <c:v>0.86499999999999999</c:v>
                </c:pt>
                <c:pt idx="122">
                  <c:v>0.84499999999999997</c:v>
                </c:pt>
                <c:pt idx="123">
                  <c:v>0.83699999999999997</c:v>
                </c:pt>
                <c:pt idx="124">
                  <c:v>0.83299999999999996</c:v>
                </c:pt>
                <c:pt idx="125">
                  <c:v>0.83199999999999996</c:v>
                </c:pt>
                <c:pt idx="126">
                  <c:v>0.83099999999999996</c:v>
                </c:pt>
                <c:pt idx="127">
                  <c:v>0.83</c:v>
                </c:pt>
                <c:pt idx="128">
                  <c:v>0.82799999999999996</c:v>
                </c:pt>
                <c:pt idx="129">
                  <c:v>0.82599999999999996</c:v>
                </c:pt>
                <c:pt idx="130">
                  <c:v>0.82499999999999996</c:v>
                </c:pt>
                <c:pt idx="131">
                  <c:v>0.82399999999999995</c:v>
                </c:pt>
                <c:pt idx="132">
                  <c:v>0.82099999999999995</c:v>
                </c:pt>
                <c:pt idx="133">
                  <c:v>0.82</c:v>
                </c:pt>
                <c:pt idx="134">
                  <c:v>0.81799999999999995</c:v>
                </c:pt>
                <c:pt idx="135">
                  <c:v>0.81599999999999995</c:v>
                </c:pt>
                <c:pt idx="136">
                  <c:v>0.81499999999999995</c:v>
                </c:pt>
                <c:pt idx="137">
                  <c:v>0.81299999999999994</c:v>
                </c:pt>
                <c:pt idx="138">
                  <c:v>0.81</c:v>
                </c:pt>
                <c:pt idx="139">
                  <c:v>0.80600000000000005</c:v>
                </c:pt>
                <c:pt idx="140">
                  <c:v>0.80600000000000005</c:v>
                </c:pt>
                <c:pt idx="141">
                  <c:v>0.80400000000000005</c:v>
                </c:pt>
                <c:pt idx="142">
                  <c:v>0.80100000000000005</c:v>
                </c:pt>
                <c:pt idx="143">
                  <c:v>0.8</c:v>
                </c:pt>
                <c:pt idx="144">
                  <c:v>0.79800000000000004</c:v>
                </c:pt>
                <c:pt idx="145">
                  <c:v>0.79900000000000004</c:v>
                </c:pt>
                <c:pt idx="146">
                  <c:v>0.79600000000000004</c:v>
                </c:pt>
                <c:pt idx="147">
                  <c:v>0.79600000000000004</c:v>
                </c:pt>
                <c:pt idx="148">
                  <c:v>0.79500000000000004</c:v>
                </c:pt>
                <c:pt idx="149">
                  <c:v>0.79200000000000004</c:v>
                </c:pt>
                <c:pt idx="150">
                  <c:v>0.79300000000000004</c:v>
                </c:pt>
                <c:pt idx="151">
                  <c:v>0.79200000000000004</c:v>
                </c:pt>
                <c:pt idx="152">
                  <c:v>0.79400000000000004</c:v>
                </c:pt>
                <c:pt idx="153">
                  <c:v>0.79300000000000004</c:v>
                </c:pt>
                <c:pt idx="154">
                  <c:v>0.79200000000000004</c:v>
                </c:pt>
                <c:pt idx="155">
                  <c:v>0.77600000000000002</c:v>
                </c:pt>
                <c:pt idx="156">
                  <c:v>0.79500000000000004</c:v>
                </c:pt>
                <c:pt idx="157">
                  <c:v>0.82299999999999995</c:v>
                </c:pt>
                <c:pt idx="158">
                  <c:v>0.82699999999999996</c:v>
                </c:pt>
                <c:pt idx="159">
                  <c:v>0.80300000000000005</c:v>
                </c:pt>
                <c:pt idx="160">
                  <c:v>0.78900000000000003</c:v>
                </c:pt>
                <c:pt idx="161">
                  <c:v>0.78400000000000003</c:v>
                </c:pt>
                <c:pt idx="162">
                  <c:v>0.77500000000000002</c:v>
                </c:pt>
                <c:pt idx="163">
                  <c:v>0.76800000000000002</c:v>
                </c:pt>
                <c:pt idx="164">
                  <c:v>0.76200000000000001</c:v>
                </c:pt>
                <c:pt idx="165">
                  <c:v>0.755</c:v>
                </c:pt>
                <c:pt idx="166">
                  <c:v>0.749</c:v>
                </c:pt>
                <c:pt idx="167">
                  <c:v>0.74199999999999999</c:v>
                </c:pt>
                <c:pt idx="168">
                  <c:v>0.73499999999999999</c:v>
                </c:pt>
                <c:pt idx="169">
                  <c:v>0.72799999999999998</c:v>
                </c:pt>
                <c:pt idx="170">
                  <c:v>0.71899999999999997</c:v>
                </c:pt>
                <c:pt idx="171">
                  <c:v>0.70799999999999996</c:v>
                </c:pt>
                <c:pt idx="172">
                  <c:v>0.69799999999999995</c:v>
                </c:pt>
                <c:pt idx="173">
                  <c:v>0.69099999999999995</c:v>
                </c:pt>
                <c:pt idx="174">
                  <c:v>0.68600000000000005</c:v>
                </c:pt>
                <c:pt idx="175">
                  <c:v>0.68400000000000005</c:v>
                </c:pt>
                <c:pt idx="176">
                  <c:v>0.68500000000000005</c:v>
                </c:pt>
                <c:pt idx="177">
                  <c:v>0.67800000000000005</c:v>
                </c:pt>
                <c:pt idx="178">
                  <c:v>0.67600000000000005</c:v>
                </c:pt>
                <c:pt idx="179">
                  <c:v>0.66800000000000004</c:v>
                </c:pt>
                <c:pt idx="180">
                  <c:v>0.66200000000000003</c:v>
                </c:pt>
                <c:pt idx="181">
                  <c:v>0.65200000000000002</c:v>
                </c:pt>
                <c:pt idx="182">
                  <c:v>0.64</c:v>
                </c:pt>
                <c:pt idx="183">
                  <c:v>0.64400000000000002</c:v>
                </c:pt>
                <c:pt idx="184">
                  <c:v>0.63300000000000001</c:v>
                </c:pt>
                <c:pt idx="185">
                  <c:v>0.63600000000000001</c:v>
                </c:pt>
                <c:pt idx="186">
                  <c:v>0.63500000000000001</c:v>
                </c:pt>
                <c:pt idx="187">
                  <c:v>0.627</c:v>
                </c:pt>
                <c:pt idx="188">
                  <c:v>0.61899999999999999</c:v>
                </c:pt>
                <c:pt idx="189">
                  <c:v>0.61199999999999999</c:v>
                </c:pt>
                <c:pt idx="190">
                  <c:v>0.61499999999999999</c:v>
                </c:pt>
                <c:pt idx="191">
                  <c:v>0.63100000000000001</c:v>
                </c:pt>
                <c:pt idx="192">
                  <c:v>0.63100000000000001</c:v>
                </c:pt>
                <c:pt idx="193">
                  <c:v>0.625</c:v>
                </c:pt>
                <c:pt idx="194">
                  <c:v>0.63</c:v>
                </c:pt>
                <c:pt idx="195">
                  <c:v>0.621</c:v>
                </c:pt>
                <c:pt idx="196">
                  <c:v>0.624</c:v>
                </c:pt>
                <c:pt idx="197">
                  <c:v>0.626</c:v>
                </c:pt>
                <c:pt idx="198">
                  <c:v>0.629</c:v>
                </c:pt>
                <c:pt idx="199">
                  <c:v>0.64900000000000002</c:v>
                </c:pt>
                <c:pt idx="200">
                  <c:v>0.69</c:v>
                </c:pt>
                <c:pt idx="201">
                  <c:v>0.70899999999999996</c:v>
                </c:pt>
                <c:pt idx="202">
                  <c:v>0.71399999999999997</c:v>
                </c:pt>
                <c:pt idx="203">
                  <c:v>0.71599999999999997</c:v>
                </c:pt>
                <c:pt idx="204">
                  <c:v>0.71699999999999997</c:v>
                </c:pt>
                <c:pt idx="205">
                  <c:v>0.71499999999999997</c:v>
                </c:pt>
                <c:pt idx="206">
                  <c:v>0.71699999999999997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Tabelle1!$G$1</c:f>
              <c:strCache>
                <c:ptCount val="1"/>
                <c:pt idx="0">
                  <c:v>Hum 2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Tabelle1!$G$2:$G$208</c:f>
              <c:numCache>
                <c:formatCode>0.0%</c:formatCode>
                <c:ptCount val="207"/>
                <c:pt idx="0">
                  <c:v>0.72499999999999998</c:v>
                </c:pt>
                <c:pt idx="1">
                  <c:v>0.72699999999999998</c:v>
                </c:pt>
                <c:pt idx="2">
                  <c:v>0.73199999999999998</c:v>
                </c:pt>
                <c:pt idx="3">
                  <c:v>0.73299999999999998</c:v>
                </c:pt>
                <c:pt idx="4">
                  <c:v>0.73399999999999999</c:v>
                </c:pt>
                <c:pt idx="5">
                  <c:v>0.73499999999999999</c:v>
                </c:pt>
                <c:pt idx="6">
                  <c:v>0.73499999999999999</c:v>
                </c:pt>
                <c:pt idx="7">
                  <c:v>0.73599999999999999</c:v>
                </c:pt>
                <c:pt idx="8">
                  <c:v>0.73599999999999999</c:v>
                </c:pt>
                <c:pt idx="9">
                  <c:v>0.73599999999999999</c:v>
                </c:pt>
                <c:pt idx="10">
                  <c:v>0.73599999999999999</c:v>
                </c:pt>
                <c:pt idx="11">
                  <c:v>0.73599999999999999</c:v>
                </c:pt>
                <c:pt idx="12">
                  <c:v>0.73599999999999999</c:v>
                </c:pt>
                <c:pt idx="13">
                  <c:v>0.73599999999999999</c:v>
                </c:pt>
                <c:pt idx="14">
                  <c:v>0.73599999999999999</c:v>
                </c:pt>
                <c:pt idx="15">
                  <c:v>0.73599999999999999</c:v>
                </c:pt>
                <c:pt idx="16">
                  <c:v>0.73499999999999999</c:v>
                </c:pt>
                <c:pt idx="17">
                  <c:v>0.73399999999999999</c:v>
                </c:pt>
                <c:pt idx="18">
                  <c:v>0.73399999999999999</c:v>
                </c:pt>
                <c:pt idx="19">
                  <c:v>0.73299999999999998</c:v>
                </c:pt>
                <c:pt idx="20">
                  <c:v>0.73299999999999998</c:v>
                </c:pt>
                <c:pt idx="21">
                  <c:v>0.73299999999999998</c:v>
                </c:pt>
                <c:pt idx="22">
                  <c:v>0.73299999999999998</c:v>
                </c:pt>
                <c:pt idx="23">
                  <c:v>0.73299999999999998</c:v>
                </c:pt>
                <c:pt idx="24">
                  <c:v>0.73299999999999998</c:v>
                </c:pt>
                <c:pt idx="25">
                  <c:v>0.73299999999999998</c:v>
                </c:pt>
                <c:pt idx="26">
                  <c:v>0.73399999999999999</c:v>
                </c:pt>
                <c:pt idx="27">
                  <c:v>0.73299999999999998</c:v>
                </c:pt>
                <c:pt idx="28">
                  <c:v>0.73299999999999998</c:v>
                </c:pt>
                <c:pt idx="29">
                  <c:v>0.73199999999999998</c:v>
                </c:pt>
                <c:pt idx="30">
                  <c:v>0.73199999999999998</c:v>
                </c:pt>
                <c:pt idx="31">
                  <c:v>0.73199999999999998</c:v>
                </c:pt>
                <c:pt idx="32">
                  <c:v>0.73099999999999998</c:v>
                </c:pt>
                <c:pt idx="33">
                  <c:v>0.73099999999999998</c:v>
                </c:pt>
                <c:pt idx="34">
                  <c:v>0.73099999999999998</c:v>
                </c:pt>
                <c:pt idx="35">
                  <c:v>0.73099999999999998</c:v>
                </c:pt>
                <c:pt idx="36">
                  <c:v>0.73099999999999998</c:v>
                </c:pt>
                <c:pt idx="37">
                  <c:v>0.73099999999999998</c:v>
                </c:pt>
                <c:pt idx="38">
                  <c:v>0.73</c:v>
                </c:pt>
                <c:pt idx="39">
                  <c:v>0.73199999999999998</c:v>
                </c:pt>
                <c:pt idx="40">
                  <c:v>0.73299999999999998</c:v>
                </c:pt>
                <c:pt idx="41">
                  <c:v>0.73799999999999999</c:v>
                </c:pt>
                <c:pt idx="42">
                  <c:v>0.746</c:v>
                </c:pt>
                <c:pt idx="43">
                  <c:v>0.752</c:v>
                </c:pt>
                <c:pt idx="44">
                  <c:v>0.752</c:v>
                </c:pt>
                <c:pt idx="45">
                  <c:v>0.75</c:v>
                </c:pt>
                <c:pt idx="46">
                  <c:v>0.749</c:v>
                </c:pt>
                <c:pt idx="47">
                  <c:v>0.75800000000000001</c:v>
                </c:pt>
                <c:pt idx="48">
                  <c:v>0.76300000000000001</c:v>
                </c:pt>
                <c:pt idx="49">
                  <c:v>0.75600000000000001</c:v>
                </c:pt>
                <c:pt idx="50">
                  <c:v>0.746</c:v>
                </c:pt>
                <c:pt idx="51">
                  <c:v>0.74099999999999999</c:v>
                </c:pt>
                <c:pt idx="52">
                  <c:v>0.72199999999999998</c:v>
                </c:pt>
                <c:pt idx="53">
                  <c:v>0.69699999999999995</c:v>
                </c:pt>
                <c:pt idx="54">
                  <c:v>0.66</c:v>
                </c:pt>
                <c:pt idx="55">
                  <c:v>0.65500000000000003</c:v>
                </c:pt>
                <c:pt idx="56">
                  <c:v>0.65500000000000003</c:v>
                </c:pt>
                <c:pt idx="57">
                  <c:v>0.65200000000000002</c:v>
                </c:pt>
                <c:pt idx="58">
                  <c:v>0.64600000000000002</c:v>
                </c:pt>
                <c:pt idx="59">
                  <c:v>0.64200000000000002</c:v>
                </c:pt>
                <c:pt idx="60">
                  <c:v>0.64400000000000002</c:v>
                </c:pt>
                <c:pt idx="61">
                  <c:v>0.63500000000000001</c:v>
                </c:pt>
                <c:pt idx="62">
                  <c:v>0.628</c:v>
                </c:pt>
                <c:pt idx="63">
                  <c:v>0.625</c:v>
                </c:pt>
                <c:pt idx="64">
                  <c:v>0.61899999999999999</c:v>
                </c:pt>
                <c:pt idx="65">
                  <c:v>0.61099999999999999</c:v>
                </c:pt>
                <c:pt idx="66">
                  <c:v>0.60299999999999998</c:v>
                </c:pt>
                <c:pt idx="67">
                  <c:v>0.59699999999999998</c:v>
                </c:pt>
                <c:pt idx="68">
                  <c:v>0.59099999999999997</c:v>
                </c:pt>
                <c:pt idx="69">
                  <c:v>0.58099999999999996</c:v>
                </c:pt>
                <c:pt idx="70">
                  <c:v>0.58499999999999996</c:v>
                </c:pt>
                <c:pt idx="71">
                  <c:v>0.56599999999999995</c:v>
                </c:pt>
                <c:pt idx="72">
                  <c:v>0.55400000000000005</c:v>
                </c:pt>
                <c:pt idx="73">
                  <c:v>0.55400000000000005</c:v>
                </c:pt>
                <c:pt idx="74">
                  <c:v>0.54700000000000004</c:v>
                </c:pt>
                <c:pt idx="75">
                  <c:v>0.53900000000000003</c:v>
                </c:pt>
                <c:pt idx="76">
                  <c:v>0.54100000000000004</c:v>
                </c:pt>
                <c:pt idx="77">
                  <c:v>0.54800000000000004</c:v>
                </c:pt>
                <c:pt idx="78">
                  <c:v>0.54900000000000004</c:v>
                </c:pt>
                <c:pt idx="79">
                  <c:v>0.55900000000000005</c:v>
                </c:pt>
                <c:pt idx="80">
                  <c:v>0.56999999999999995</c:v>
                </c:pt>
                <c:pt idx="81">
                  <c:v>0.58599999999999997</c:v>
                </c:pt>
                <c:pt idx="82">
                  <c:v>0.6</c:v>
                </c:pt>
                <c:pt idx="83">
                  <c:v>0.59099999999999997</c:v>
                </c:pt>
                <c:pt idx="84">
                  <c:v>0.59399999999999997</c:v>
                </c:pt>
                <c:pt idx="85">
                  <c:v>0.60399999999999998</c:v>
                </c:pt>
                <c:pt idx="86">
                  <c:v>0.58699999999999997</c:v>
                </c:pt>
                <c:pt idx="87">
                  <c:v>0.57799999999999996</c:v>
                </c:pt>
                <c:pt idx="88">
                  <c:v>0.83499999999999996</c:v>
                </c:pt>
                <c:pt idx="89">
                  <c:v>0.94099999999999995</c:v>
                </c:pt>
                <c:pt idx="90">
                  <c:v>0.86699999999999999</c:v>
                </c:pt>
                <c:pt idx="91">
                  <c:v>0.79300000000000004</c:v>
                </c:pt>
                <c:pt idx="92">
                  <c:v>0.747</c:v>
                </c:pt>
                <c:pt idx="93">
                  <c:v>0.72</c:v>
                </c:pt>
                <c:pt idx="94">
                  <c:v>0.69699999999999995</c:v>
                </c:pt>
                <c:pt idx="95">
                  <c:v>0.67300000000000004</c:v>
                </c:pt>
                <c:pt idx="96">
                  <c:v>0.67700000000000005</c:v>
                </c:pt>
                <c:pt idx="97">
                  <c:v>0.68300000000000005</c:v>
                </c:pt>
                <c:pt idx="98">
                  <c:v>0.68899999999999995</c:v>
                </c:pt>
                <c:pt idx="99">
                  <c:v>0.69799999999999995</c:v>
                </c:pt>
                <c:pt idx="100">
                  <c:v>0.70599999999999996</c:v>
                </c:pt>
                <c:pt idx="101">
                  <c:v>0.70399999999999996</c:v>
                </c:pt>
                <c:pt idx="102">
                  <c:v>0.68600000000000005</c:v>
                </c:pt>
                <c:pt idx="103">
                  <c:v>0.73499999999999999</c:v>
                </c:pt>
                <c:pt idx="104">
                  <c:v>0.80600000000000005</c:v>
                </c:pt>
                <c:pt idx="105">
                  <c:v>0.85099999999999998</c:v>
                </c:pt>
                <c:pt idx="106">
                  <c:v>0.874</c:v>
                </c:pt>
                <c:pt idx="107">
                  <c:v>0.88400000000000001</c:v>
                </c:pt>
                <c:pt idx="108">
                  <c:v>0.88800000000000001</c:v>
                </c:pt>
                <c:pt idx="109">
                  <c:v>0.91300000000000003</c:v>
                </c:pt>
                <c:pt idx="110">
                  <c:v>0.91600000000000004</c:v>
                </c:pt>
                <c:pt idx="111">
                  <c:v>0.91300000000000003</c:v>
                </c:pt>
                <c:pt idx="112">
                  <c:v>0.91100000000000003</c:v>
                </c:pt>
                <c:pt idx="113">
                  <c:v>0.90800000000000003</c:v>
                </c:pt>
                <c:pt idx="114">
                  <c:v>0.90500000000000003</c:v>
                </c:pt>
                <c:pt idx="115">
                  <c:v>0.90200000000000002</c:v>
                </c:pt>
                <c:pt idx="116">
                  <c:v>0.89600000000000002</c:v>
                </c:pt>
                <c:pt idx="117">
                  <c:v>0.88900000000000001</c:v>
                </c:pt>
                <c:pt idx="118">
                  <c:v>0.85699999999999998</c:v>
                </c:pt>
                <c:pt idx="119">
                  <c:v>0.84699999999999998</c:v>
                </c:pt>
                <c:pt idx="120">
                  <c:v>0.84899999999999998</c:v>
                </c:pt>
                <c:pt idx="121">
                  <c:v>0.82499999999999996</c:v>
                </c:pt>
                <c:pt idx="122">
                  <c:v>0.80500000000000005</c:v>
                </c:pt>
                <c:pt idx="123">
                  <c:v>0.79900000000000004</c:v>
                </c:pt>
                <c:pt idx="124">
                  <c:v>0.79500000000000004</c:v>
                </c:pt>
                <c:pt idx="125">
                  <c:v>0.79400000000000004</c:v>
                </c:pt>
                <c:pt idx="126">
                  <c:v>0.79300000000000004</c:v>
                </c:pt>
                <c:pt idx="127">
                  <c:v>0.79300000000000004</c:v>
                </c:pt>
                <c:pt idx="128">
                  <c:v>0.79300000000000004</c:v>
                </c:pt>
                <c:pt idx="129">
                  <c:v>0.79200000000000004</c:v>
                </c:pt>
                <c:pt idx="130">
                  <c:v>0.79200000000000004</c:v>
                </c:pt>
                <c:pt idx="131">
                  <c:v>0.79100000000000004</c:v>
                </c:pt>
                <c:pt idx="132">
                  <c:v>0.79</c:v>
                </c:pt>
                <c:pt idx="133">
                  <c:v>0.79</c:v>
                </c:pt>
                <c:pt idx="134">
                  <c:v>0.78900000000000003</c:v>
                </c:pt>
                <c:pt idx="135">
                  <c:v>0.78900000000000003</c:v>
                </c:pt>
                <c:pt idx="136">
                  <c:v>0.78900000000000003</c:v>
                </c:pt>
                <c:pt idx="137">
                  <c:v>0.78300000000000003</c:v>
                </c:pt>
                <c:pt idx="138">
                  <c:v>0.77700000000000002</c:v>
                </c:pt>
                <c:pt idx="139">
                  <c:v>0.77500000000000002</c:v>
                </c:pt>
                <c:pt idx="140">
                  <c:v>0.77400000000000002</c:v>
                </c:pt>
                <c:pt idx="141">
                  <c:v>0.77200000000000002</c:v>
                </c:pt>
                <c:pt idx="142">
                  <c:v>0.76900000000000002</c:v>
                </c:pt>
                <c:pt idx="143">
                  <c:v>0.76900000000000002</c:v>
                </c:pt>
                <c:pt idx="144">
                  <c:v>0.76800000000000002</c:v>
                </c:pt>
                <c:pt idx="145">
                  <c:v>0.77</c:v>
                </c:pt>
                <c:pt idx="146">
                  <c:v>0.76700000000000002</c:v>
                </c:pt>
                <c:pt idx="147">
                  <c:v>0.76700000000000002</c:v>
                </c:pt>
                <c:pt idx="148">
                  <c:v>0.76600000000000001</c:v>
                </c:pt>
                <c:pt idx="149">
                  <c:v>0.76400000000000001</c:v>
                </c:pt>
                <c:pt idx="150">
                  <c:v>0.76400000000000001</c:v>
                </c:pt>
                <c:pt idx="151">
                  <c:v>0.76400000000000001</c:v>
                </c:pt>
                <c:pt idx="152">
                  <c:v>0.76700000000000002</c:v>
                </c:pt>
                <c:pt idx="153">
                  <c:v>0.76800000000000002</c:v>
                </c:pt>
                <c:pt idx="154">
                  <c:v>0.76800000000000002</c:v>
                </c:pt>
                <c:pt idx="155">
                  <c:v>0.754</c:v>
                </c:pt>
                <c:pt idx="156">
                  <c:v>0.77</c:v>
                </c:pt>
                <c:pt idx="157">
                  <c:v>0.79300000000000004</c:v>
                </c:pt>
                <c:pt idx="158">
                  <c:v>0.79700000000000004</c:v>
                </c:pt>
                <c:pt idx="159">
                  <c:v>0.77900000000000003</c:v>
                </c:pt>
                <c:pt idx="160">
                  <c:v>0.76900000000000002</c:v>
                </c:pt>
                <c:pt idx="161">
                  <c:v>0.76500000000000001</c:v>
                </c:pt>
                <c:pt idx="162">
                  <c:v>0.75800000000000001</c:v>
                </c:pt>
                <c:pt idx="163">
                  <c:v>0.753</c:v>
                </c:pt>
                <c:pt idx="164">
                  <c:v>0.75</c:v>
                </c:pt>
                <c:pt idx="165">
                  <c:v>0.74399999999999999</c:v>
                </c:pt>
                <c:pt idx="166">
                  <c:v>0.74</c:v>
                </c:pt>
                <c:pt idx="167">
                  <c:v>0.73499999999999999</c:v>
                </c:pt>
                <c:pt idx="168">
                  <c:v>0.72899999999999998</c:v>
                </c:pt>
                <c:pt idx="169">
                  <c:v>0.72299999999999998</c:v>
                </c:pt>
                <c:pt idx="170">
                  <c:v>0.71699999999999997</c:v>
                </c:pt>
                <c:pt idx="171">
                  <c:v>0.70699999999999996</c:v>
                </c:pt>
                <c:pt idx="172">
                  <c:v>0.69799999999999995</c:v>
                </c:pt>
                <c:pt idx="173">
                  <c:v>0.69199999999999995</c:v>
                </c:pt>
                <c:pt idx="174">
                  <c:v>0.68799999999999994</c:v>
                </c:pt>
                <c:pt idx="175">
                  <c:v>0.68600000000000005</c:v>
                </c:pt>
                <c:pt idx="176">
                  <c:v>0.68600000000000005</c:v>
                </c:pt>
                <c:pt idx="177">
                  <c:v>0.68</c:v>
                </c:pt>
                <c:pt idx="178">
                  <c:v>0.67800000000000005</c:v>
                </c:pt>
                <c:pt idx="179">
                  <c:v>0.67100000000000004</c:v>
                </c:pt>
                <c:pt idx="180">
                  <c:v>0.66600000000000004</c:v>
                </c:pt>
                <c:pt idx="181">
                  <c:v>0.65600000000000003</c:v>
                </c:pt>
                <c:pt idx="182">
                  <c:v>0.64600000000000002</c:v>
                </c:pt>
                <c:pt idx="183">
                  <c:v>0.64800000000000002</c:v>
                </c:pt>
                <c:pt idx="184">
                  <c:v>0.63900000000000001</c:v>
                </c:pt>
                <c:pt idx="185">
                  <c:v>0.64</c:v>
                </c:pt>
                <c:pt idx="186">
                  <c:v>0.64</c:v>
                </c:pt>
                <c:pt idx="187">
                  <c:v>0.63300000000000001</c:v>
                </c:pt>
                <c:pt idx="188">
                  <c:v>0.625</c:v>
                </c:pt>
                <c:pt idx="189">
                  <c:v>0.61899999999999999</c:v>
                </c:pt>
                <c:pt idx="190">
                  <c:v>0.621</c:v>
                </c:pt>
                <c:pt idx="191">
                  <c:v>0.63600000000000001</c:v>
                </c:pt>
                <c:pt idx="192">
                  <c:v>0.63400000000000001</c:v>
                </c:pt>
                <c:pt idx="193">
                  <c:v>0.63100000000000001</c:v>
                </c:pt>
                <c:pt idx="194">
                  <c:v>0.63500000000000001</c:v>
                </c:pt>
                <c:pt idx="195">
                  <c:v>0.626</c:v>
                </c:pt>
                <c:pt idx="196">
                  <c:v>0.628</c:v>
                </c:pt>
                <c:pt idx="197">
                  <c:v>0.63100000000000001</c:v>
                </c:pt>
                <c:pt idx="198">
                  <c:v>0.63500000000000001</c:v>
                </c:pt>
                <c:pt idx="199">
                  <c:v>0.65400000000000003</c:v>
                </c:pt>
                <c:pt idx="200">
                  <c:v>0.69199999999999995</c:v>
                </c:pt>
                <c:pt idx="201">
                  <c:v>0.70799999999999996</c:v>
                </c:pt>
                <c:pt idx="202">
                  <c:v>0.71299999999999997</c:v>
                </c:pt>
                <c:pt idx="203">
                  <c:v>0.71399999999999997</c:v>
                </c:pt>
                <c:pt idx="204">
                  <c:v>0.71599999999999997</c:v>
                </c:pt>
                <c:pt idx="205">
                  <c:v>0.71399999999999997</c:v>
                </c:pt>
                <c:pt idx="206">
                  <c:v>0.71599999999999997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Tabelle1!$H$1</c:f>
              <c:strCache>
                <c:ptCount val="1"/>
                <c:pt idx="0">
                  <c:v>Hum 3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Tabelle1!$H$2:$H$208</c:f>
              <c:numCache>
                <c:formatCode>0.0%</c:formatCode>
                <c:ptCount val="207"/>
                <c:pt idx="0">
                  <c:v>0.71899999999999997</c:v>
                </c:pt>
                <c:pt idx="1">
                  <c:v>0.71899999999999997</c:v>
                </c:pt>
                <c:pt idx="2">
                  <c:v>0.72099999999999997</c:v>
                </c:pt>
                <c:pt idx="3">
                  <c:v>0.72099999999999997</c:v>
                </c:pt>
                <c:pt idx="4">
                  <c:v>0.72199999999999998</c:v>
                </c:pt>
                <c:pt idx="5">
                  <c:v>0.72199999999999998</c:v>
                </c:pt>
                <c:pt idx="6">
                  <c:v>0.72099999999999997</c:v>
                </c:pt>
                <c:pt idx="7">
                  <c:v>0.72199999999999998</c:v>
                </c:pt>
                <c:pt idx="8">
                  <c:v>0.72199999999999998</c:v>
                </c:pt>
                <c:pt idx="9">
                  <c:v>0.72199999999999998</c:v>
                </c:pt>
                <c:pt idx="10">
                  <c:v>0.72199999999999998</c:v>
                </c:pt>
                <c:pt idx="11">
                  <c:v>0.72099999999999997</c:v>
                </c:pt>
                <c:pt idx="12">
                  <c:v>0.72099999999999997</c:v>
                </c:pt>
                <c:pt idx="13">
                  <c:v>0.72099999999999997</c:v>
                </c:pt>
                <c:pt idx="14">
                  <c:v>0.72099999999999997</c:v>
                </c:pt>
                <c:pt idx="15">
                  <c:v>0.72099999999999997</c:v>
                </c:pt>
                <c:pt idx="16">
                  <c:v>0.72</c:v>
                </c:pt>
                <c:pt idx="17">
                  <c:v>0.72</c:v>
                </c:pt>
                <c:pt idx="18">
                  <c:v>0.72</c:v>
                </c:pt>
                <c:pt idx="19">
                  <c:v>0.71899999999999997</c:v>
                </c:pt>
                <c:pt idx="20">
                  <c:v>0.71899999999999997</c:v>
                </c:pt>
                <c:pt idx="21">
                  <c:v>0.71899999999999997</c:v>
                </c:pt>
                <c:pt idx="22">
                  <c:v>0.71899999999999997</c:v>
                </c:pt>
                <c:pt idx="23">
                  <c:v>0.71799999999999997</c:v>
                </c:pt>
                <c:pt idx="24">
                  <c:v>0.71799999999999997</c:v>
                </c:pt>
                <c:pt idx="25">
                  <c:v>0.71799999999999997</c:v>
                </c:pt>
                <c:pt idx="26">
                  <c:v>0.71899999999999997</c:v>
                </c:pt>
                <c:pt idx="27">
                  <c:v>0.71899999999999997</c:v>
                </c:pt>
                <c:pt idx="28">
                  <c:v>0.71899999999999997</c:v>
                </c:pt>
                <c:pt idx="29">
                  <c:v>0.71699999999999997</c:v>
                </c:pt>
                <c:pt idx="30">
                  <c:v>0.71699999999999997</c:v>
                </c:pt>
                <c:pt idx="31">
                  <c:v>0.71699999999999997</c:v>
                </c:pt>
                <c:pt idx="32">
                  <c:v>0.71699999999999997</c:v>
                </c:pt>
                <c:pt idx="33">
                  <c:v>0.71599999999999997</c:v>
                </c:pt>
                <c:pt idx="34">
                  <c:v>0.71599999999999997</c:v>
                </c:pt>
                <c:pt idx="35">
                  <c:v>0.71599999999999997</c:v>
                </c:pt>
                <c:pt idx="36">
                  <c:v>0.71599999999999997</c:v>
                </c:pt>
                <c:pt idx="37">
                  <c:v>0.71699999999999997</c:v>
                </c:pt>
                <c:pt idx="38">
                  <c:v>0.71399999999999997</c:v>
                </c:pt>
                <c:pt idx="39">
                  <c:v>0.71799999999999997</c:v>
                </c:pt>
                <c:pt idx="40">
                  <c:v>0.71799999999999997</c:v>
                </c:pt>
                <c:pt idx="41">
                  <c:v>0.72399999999999998</c:v>
                </c:pt>
                <c:pt idx="42">
                  <c:v>0.73099999999999998</c:v>
                </c:pt>
                <c:pt idx="43">
                  <c:v>0.73699999999999999</c:v>
                </c:pt>
                <c:pt idx="44">
                  <c:v>0.73799999999999999</c:v>
                </c:pt>
                <c:pt idx="45">
                  <c:v>0.73599999999999999</c:v>
                </c:pt>
                <c:pt idx="46">
                  <c:v>0.73399999999999999</c:v>
                </c:pt>
                <c:pt idx="47">
                  <c:v>0.74399999999999999</c:v>
                </c:pt>
                <c:pt idx="48">
                  <c:v>0.749</c:v>
                </c:pt>
                <c:pt idx="49">
                  <c:v>0.74199999999999999</c:v>
                </c:pt>
                <c:pt idx="50">
                  <c:v>0.73399999999999999</c:v>
                </c:pt>
                <c:pt idx="51">
                  <c:v>0.72899999999999998</c:v>
                </c:pt>
                <c:pt idx="52">
                  <c:v>0.71</c:v>
                </c:pt>
                <c:pt idx="53">
                  <c:v>0.68400000000000005</c:v>
                </c:pt>
                <c:pt idx="54">
                  <c:v>0.65900000000000003</c:v>
                </c:pt>
                <c:pt idx="55">
                  <c:v>0.64700000000000002</c:v>
                </c:pt>
                <c:pt idx="56">
                  <c:v>0.64300000000000002</c:v>
                </c:pt>
                <c:pt idx="57">
                  <c:v>0.63300000000000001</c:v>
                </c:pt>
                <c:pt idx="58">
                  <c:v>0.627</c:v>
                </c:pt>
                <c:pt idx="59">
                  <c:v>0.625</c:v>
                </c:pt>
                <c:pt idx="60">
                  <c:v>0.626</c:v>
                </c:pt>
                <c:pt idx="61">
                  <c:v>0.61799999999999999</c:v>
                </c:pt>
                <c:pt idx="62">
                  <c:v>0.61099999999999999</c:v>
                </c:pt>
                <c:pt idx="63">
                  <c:v>0.60699999999999998</c:v>
                </c:pt>
                <c:pt idx="64">
                  <c:v>0.60099999999999998</c:v>
                </c:pt>
                <c:pt idx="65">
                  <c:v>0.59499999999999997</c:v>
                </c:pt>
                <c:pt idx="66">
                  <c:v>0.58699999999999997</c:v>
                </c:pt>
                <c:pt idx="67">
                  <c:v>0.57399999999999995</c:v>
                </c:pt>
                <c:pt idx="68">
                  <c:v>0.57099999999999995</c:v>
                </c:pt>
                <c:pt idx="69">
                  <c:v>0.56799999999999995</c:v>
                </c:pt>
                <c:pt idx="70">
                  <c:v>0.56999999999999995</c:v>
                </c:pt>
                <c:pt idx="71">
                  <c:v>0.55200000000000005</c:v>
                </c:pt>
                <c:pt idx="72">
                  <c:v>0.54100000000000004</c:v>
                </c:pt>
                <c:pt idx="73">
                  <c:v>0.53900000000000003</c:v>
                </c:pt>
                <c:pt idx="74">
                  <c:v>0.53400000000000003</c:v>
                </c:pt>
                <c:pt idx="75">
                  <c:v>0.52600000000000002</c:v>
                </c:pt>
                <c:pt idx="76">
                  <c:v>0.52700000000000002</c:v>
                </c:pt>
                <c:pt idx="77">
                  <c:v>0.53400000000000003</c:v>
                </c:pt>
                <c:pt idx="78">
                  <c:v>0.53500000000000003</c:v>
                </c:pt>
                <c:pt idx="79">
                  <c:v>0.54500000000000004</c:v>
                </c:pt>
                <c:pt idx="80">
                  <c:v>0.55500000000000005</c:v>
                </c:pt>
                <c:pt idx="81">
                  <c:v>0.57099999999999995</c:v>
                </c:pt>
                <c:pt idx="82">
                  <c:v>0.58399999999999996</c:v>
                </c:pt>
                <c:pt idx="83">
                  <c:v>0.57599999999999996</c:v>
                </c:pt>
                <c:pt idx="84">
                  <c:v>0.57899999999999996</c:v>
                </c:pt>
                <c:pt idx="85">
                  <c:v>0.58599999999999997</c:v>
                </c:pt>
                <c:pt idx="86">
                  <c:v>0.58299999999999996</c:v>
                </c:pt>
                <c:pt idx="87">
                  <c:v>0.58399999999999996</c:v>
                </c:pt>
                <c:pt idx="88">
                  <c:v>0.82299999999999995</c:v>
                </c:pt>
                <c:pt idx="89">
                  <c:v>0.91900000000000004</c:v>
                </c:pt>
                <c:pt idx="90">
                  <c:v>0.84299999999999997</c:v>
                </c:pt>
                <c:pt idx="91">
                  <c:v>0.76800000000000002</c:v>
                </c:pt>
                <c:pt idx="92">
                  <c:v>0.72299999999999998</c:v>
                </c:pt>
                <c:pt idx="93">
                  <c:v>0.69399999999999995</c:v>
                </c:pt>
                <c:pt idx="94">
                  <c:v>0.67100000000000004</c:v>
                </c:pt>
                <c:pt idx="95">
                  <c:v>0.65300000000000002</c:v>
                </c:pt>
                <c:pt idx="96">
                  <c:v>0.65</c:v>
                </c:pt>
                <c:pt idx="97">
                  <c:v>0.65600000000000003</c:v>
                </c:pt>
                <c:pt idx="98">
                  <c:v>0.66200000000000003</c:v>
                </c:pt>
                <c:pt idx="99">
                  <c:v>0.67</c:v>
                </c:pt>
                <c:pt idx="100">
                  <c:v>0.67700000000000005</c:v>
                </c:pt>
                <c:pt idx="101">
                  <c:v>0.67800000000000005</c:v>
                </c:pt>
                <c:pt idx="102">
                  <c:v>0.67700000000000005</c:v>
                </c:pt>
                <c:pt idx="103">
                  <c:v>0.68500000000000005</c:v>
                </c:pt>
                <c:pt idx="104">
                  <c:v>0.73799999999999999</c:v>
                </c:pt>
                <c:pt idx="105">
                  <c:v>0.78800000000000003</c:v>
                </c:pt>
                <c:pt idx="106">
                  <c:v>0.81499999999999995</c:v>
                </c:pt>
                <c:pt idx="107">
                  <c:v>0.82699999999999996</c:v>
                </c:pt>
                <c:pt idx="108">
                  <c:v>0.83199999999999996</c:v>
                </c:pt>
                <c:pt idx="109">
                  <c:v>0.91700000000000004</c:v>
                </c:pt>
                <c:pt idx="110">
                  <c:v>0.95799999999999996</c:v>
                </c:pt>
                <c:pt idx="111">
                  <c:v>0.95799999999999996</c:v>
                </c:pt>
                <c:pt idx="112">
                  <c:v>0.95599999999999996</c:v>
                </c:pt>
                <c:pt idx="113">
                  <c:v>0.95399999999999996</c:v>
                </c:pt>
                <c:pt idx="114">
                  <c:v>0.95099999999999996</c:v>
                </c:pt>
                <c:pt idx="115">
                  <c:v>0.94699999999999995</c:v>
                </c:pt>
                <c:pt idx="116">
                  <c:v>0.94399999999999995</c:v>
                </c:pt>
                <c:pt idx="117">
                  <c:v>0.94199999999999995</c:v>
                </c:pt>
                <c:pt idx="118">
                  <c:v>0.93</c:v>
                </c:pt>
                <c:pt idx="119">
                  <c:v>0.92800000000000005</c:v>
                </c:pt>
                <c:pt idx="120">
                  <c:v>0.93</c:v>
                </c:pt>
                <c:pt idx="121">
                  <c:v>0.92</c:v>
                </c:pt>
                <c:pt idx="122">
                  <c:v>0.90900000000000003</c:v>
                </c:pt>
                <c:pt idx="123">
                  <c:v>0.90500000000000003</c:v>
                </c:pt>
                <c:pt idx="124">
                  <c:v>0.90400000000000003</c:v>
                </c:pt>
                <c:pt idx="125">
                  <c:v>0.90400000000000003</c:v>
                </c:pt>
                <c:pt idx="126">
                  <c:v>0.90400000000000003</c:v>
                </c:pt>
                <c:pt idx="127">
                  <c:v>0.90400000000000003</c:v>
                </c:pt>
                <c:pt idx="128">
                  <c:v>0.90400000000000003</c:v>
                </c:pt>
                <c:pt idx="129">
                  <c:v>0.90300000000000002</c:v>
                </c:pt>
                <c:pt idx="130">
                  <c:v>0.90300000000000002</c:v>
                </c:pt>
                <c:pt idx="131">
                  <c:v>0.90300000000000002</c:v>
                </c:pt>
                <c:pt idx="132">
                  <c:v>0.90200000000000002</c:v>
                </c:pt>
                <c:pt idx="133">
                  <c:v>0.90200000000000002</c:v>
                </c:pt>
                <c:pt idx="134">
                  <c:v>0.90100000000000002</c:v>
                </c:pt>
                <c:pt idx="135">
                  <c:v>0.90100000000000002</c:v>
                </c:pt>
                <c:pt idx="136">
                  <c:v>0.90100000000000002</c:v>
                </c:pt>
                <c:pt idx="137">
                  <c:v>0.89700000000000002</c:v>
                </c:pt>
                <c:pt idx="138">
                  <c:v>0.89400000000000002</c:v>
                </c:pt>
                <c:pt idx="139">
                  <c:v>0.88900000000000001</c:v>
                </c:pt>
                <c:pt idx="140">
                  <c:v>0.88800000000000001</c:v>
                </c:pt>
                <c:pt idx="141">
                  <c:v>0.88600000000000001</c:v>
                </c:pt>
                <c:pt idx="142">
                  <c:v>0.88300000000000001</c:v>
                </c:pt>
                <c:pt idx="143">
                  <c:v>0.88200000000000001</c:v>
                </c:pt>
                <c:pt idx="144">
                  <c:v>0.88100000000000001</c:v>
                </c:pt>
                <c:pt idx="145">
                  <c:v>0.88200000000000001</c:v>
                </c:pt>
                <c:pt idx="146">
                  <c:v>0.879</c:v>
                </c:pt>
                <c:pt idx="147">
                  <c:v>0.878</c:v>
                </c:pt>
                <c:pt idx="148">
                  <c:v>0.876</c:v>
                </c:pt>
                <c:pt idx="149">
                  <c:v>0.874</c:v>
                </c:pt>
                <c:pt idx="150">
                  <c:v>0.874</c:v>
                </c:pt>
                <c:pt idx="151">
                  <c:v>0.875</c:v>
                </c:pt>
                <c:pt idx="152">
                  <c:v>0.873</c:v>
                </c:pt>
                <c:pt idx="153">
                  <c:v>0.873</c:v>
                </c:pt>
                <c:pt idx="154">
                  <c:v>0.873</c:v>
                </c:pt>
                <c:pt idx="155">
                  <c:v>0.84899999999999998</c:v>
                </c:pt>
                <c:pt idx="156">
                  <c:v>0.877</c:v>
                </c:pt>
                <c:pt idx="157">
                  <c:v>0.90400000000000003</c:v>
                </c:pt>
                <c:pt idx="158">
                  <c:v>0.90600000000000003</c:v>
                </c:pt>
                <c:pt idx="159">
                  <c:v>0.88700000000000001</c:v>
                </c:pt>
                <c:pt idx="160">
                  <c:v>0.872</c:v>
                </c:pt>
                <c:pt idx="161">
                  <c:v>0.86599999999999999</c:v>
                </c:pt>
                <c:pt idx="162">
                  <c:v>0.85599999999999998</c:v>
                </c:pt>
                <c:pt idx="163">
                  <c:v>0.84899999999999998</c:v>
                </c:pt>
                <c:pt idx="164">
                  <c:v>0.84099999999999997</c:v>
                </c:pt>
                <c:pt idx="165">
                  <c:v>0.83199999999999996</c:v>
                </c:pt>
                <c:pt idx="166">
                  <c:v>0.82399999999999995</c:v>
                </c:pt>
                <c:pt idx="167">
                  <c:v>0.81499999999999995</c:v>
                </c:pt>
                <c:pt idx="168">
                  <c:v>0.80700000000000005</c:v>
                </c:pt>
                <c:pt idx="169">
                  <c:v>0.79600000000000004</c:v>
                </c:pt>
                <c:pt idx="170">
                  <c:v>0.78500000000000003</c:v>
                </c:pt>
                <c:pt idx="171">
                  <c:v>0.76900000000000002</c:v>
                </c:pt>
                <c:pt idx="172">
                  <c:v>0.755</c:v>
                </c:pt>
                <c:pt idx="173">
                  <c:v>0.74299999999999999</c:v>
                </c:pt>
                <c:pt idx="174">
                  <c:v>0.73699999999999999</c:v>
                </c:pt>
                <c:pt idx="175">
                  <c:v>0.73399999999999999</c:v>
                </c:pt>
                <c:pt idx="176">
                  <c:v>0.73399999999999999</c:v>
                </c:pt>
                <c:pt idx="177">
                  <c:v>0.72399999999999998</c:v>
                </c:pt>
                <c:pt idx="178">
                  <c:v>0.72</c:v>
                </c:pt>
                <c:pt idx="179">
                  <c:v>0.70699999999999996</c:v>
                </c:pt>
                <c:pt idx="180">
                  <c:v>0.7</c:v>
                </c:pt>
                <c:pt idx="181">
                  <c:v>0.68500000000000005</c:v>
                </c:pt>
                <c:pt idx="182">
                  <c:v>0.66900000000000004</c:v>
                </c:pt>
                <c:pt idx="183">
                  <c:v>0.67500000000000004</c:v>
                </c:pt>
                <c:pt idx="184">
                  <c:v>0.66</c:v>
                </c:pt>
                <c:pt idx="185">
                  <c:v>0.65800000000000003</c:v>
                </c:pt>
                <c:pt idx="186">
                  <c:v>0.66</c:v>
                </c:pt>
                <c:pt idx="187">
                  <c:v>0.65</c:v>
                </c:pt>
                <c:pt idx="188">
                  <c:v>0.64</c:v>
                </c:pt>
                <c:pt idx="189">
                  <c:v>0.629</c:v>
                </c:pt>
                <c:pt idx="190">
                  <c:v>0.63200000000000001</c:v>
                </c:pt>
                <c:pt idx="191">
                  <c:v>0.65100000000000002</c:v>
                </c:pt>
                <c:pt idx="192">
                  <c:v>0.65</c:v>
                </c:pt>
                <c:pt idx="193">
                  <c:v>0.64600000000000002</c:v>
                </c:pt>
                <c:pt idx="194">
                  <c:v>0.65300000000000002</c:v>
                </c:pt>
                <c:pt idx="195">
                  <c:v>0.63900000000000001</c:v>
                </c:pt>
                <c:pt idx="196">
                  <c:v>0.64100000000000001</c:v>
                </c:pt>
                <c:pt idx="197">
                  <c:v>0.64500000000000002</c:v>
                </c:pt>
                <c:pt idx="198">
                  <c:v>0.65100000000000002</c:v>
                </c:pt>
                <c:pt idx="199">
                  <c:v>0.69299999999999995</c:v>
                </c:pt>
                <c:pt idx="200">
                  <c:v>0.73699999999999999</c:v>
                </c:pt>
                <c:pt idx="201">
                  <c:v>0.76500000000000001</c:v>
                </c:pt>
                <c:pt idx="202">
                  <c:v>0.77300000000000002</c:v>
                </c:pt>
                <c:pt idx="203">
                  <c:v>0.77700000000000002</c:v>
                </c:pt>
                <c:pt idx="204">
                  <c:v>0.77900000000000003</c:v>
                </c:pt>
                <c:pt idx="205">
                  <c:v>0.77700000000000002</c:v>
                </c:pt>
                <c:pt idx="206">
                  <c:v>0.78100000000000003</c:v>
                </c:pt>
              </c:numCache>
            </c:numRef>
          </c:yVal>
          <c:smooth val="1"/>
        </c:ser>
        <c:axId val="160947200"/>
        <c:axId val="163471360"/>
      </c:scatterChart>
      <c:scatterChart>
        <c:scatterStyle val="smoothMarker"/>
        <c:ser>
          <c:idx val="3"/>
          <c:order val="3"/>
          <c:tx>
            <c:strRef>
              <c:f>Tabelle1!$I$1</c:f>
              <c:strCache>
                <c:ptCount val="1"/>
                <c:pt idx="0">
                  <c:v>Light 1</c:v>
                </c:pt>
              </c:strCache>
            </c:strRef>
          </c:tx>
          <c:spPr>
            <a:ln w="15875"/>
          </c:spPr>
          <c:marker>
            <c:symbol val="none"/>
          </c:marker>
          <c:trendline>
            <c:spPr>
              <a:ln w="22225">
                <a:solidFill>
                  <a:srgbClr val="FF0000"/>
                </a:solidFill>
              </a:ln>
            </c:spPr>
            <c:trendlineType val="movingAvg"/>
            <c:period val="5"/>
          </c:trendline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Tabelle1!$I$2:$I$208</c:f>
              <c:numCache>
                <c:formatCode>0.0</c:formatCode>
                <c:ptCount val="2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0.10116797216247364</c:v>
                </c:pt>
                <c:pt idx="41">
                  <c:v>3.211708549768356</c:v>
                </c:pt>
                <c:pt idx="42">
                  <c:v>12.247372604433453</c:v>
                </c:pt>
                <c:pt idx="43">
                  <c:v>23.968789013732835</c:v>
                </c:pt>
                <c:pt idx="44">
                  <c:v>40.823504809703053</c:v>
                </c:pt>
                <c:pt idx="45">
                  <c:v>62.237774030354132</c:v>
                </c:pt>
                <c:pt idx="46">
                  <c:v>104.41110330288124</c:v>
                </c:pt>
                <c:pt idx="47">
                  <c:v>165.02102933038185</c:v>
                </c:pt>
                <c:pt idx="48">
                  <c:v>219.75055187637969</c:v>
                </c:pt>
                <c:pt idx="49">
                  <c:v>242.50649350649348</c:v>
                </c:pt>
                <c:pt idx="50">
                  <c:v>263.31718061674007</c:v>
                </c:pt>
                <c:pt idx="51">
                  <c:v>274.73529411764707</c:v>
                </c:pt>
                <c:pt idx="52">
                  <c:v>314.45741324921136</c:v>
                </c:pt>
                <c:pt idx="53">
                  <c:v>655.45514223194743</c:v>
                </c:pt>
                <c:pt idx="54">
                  <c:v>311.5</c:v>
                </c:pt>
                <c:pt idx="55">
                  <c:v>217.02325581395348</c:v>
                </c:pt>
                <c:pt idx="56">
                  <c:v>215.13832853025934</c:v>
                </c:pt>
                <c:pt idx="57">
                  <c:v>209.23125437981778</c:v>
                </c:pt>
                <c:pt idx="58">
                  <c:v>185.79950186799502</c:v>
                </c:pt>
                <c:pt idx="59">
                  <c:v>211.91696238466997</c:v>
                </c:pt>
                <c:pt idx="60">
                  <c:v>189.59720457433292</c:v>
                </c:pt>
                <c:pt idx="61">
                  <c:v>170.42857142857142</c:v>
                </c:pt>
                <c:pt idx="62">
                  <c:v>187.91687657430728</c:v>
                </c:pt>
                <c:pt idx="63">
                  <c:v>175.3668430335097</c:v>
                </c:pt>
                <c:pt idx="64">
                  <c:v>186.03241895261846</c:v>
                </c:pt>
                <c:pt idx="65">
                  <c:v>240.54589371980677</c:v>
                </c:pt>
                <c:pt idx="66">
                  <c:v>186.85222291797118</c:v>
                </c:pt>
                <c:pt idx="67">
                  <c:v>188.51358180669615</c:v>
                </c:pt>
                <c:pt idx="68">
                  <c:v>171.61219792865361</c:v>
                </c:pt>
                <c:pt idx="69">
                  <c:v>162.1321370309951</c:v>
                </c:pt>
                <c:pt idx="70">
                  <c:v>154.68240788790865</c:v>
                </c:pt>
                <c:pt idx="71">
                  <c:v>143.92753623188406</c:v>
                </c:pt>
                <c:pt idx="72">
                  <c:v>137.1851681252879</c:v>
                </c:pt>
                <c:pt idx="73">
                  <c:v>136.99448022079119</c:v>
                </c:pt>
                <c:pt idx="74">
                  <c:v>135.67425968109339</c:v>
                </c:pt>
                <c:pt idx="75">
                  <c:v>101.21465076660988</c:v>
                </c:pt>
                <c:pt idx="76">
                  <c:v>90.130012150668293</c:v>
                </c:pt>
                <c:pt idx="77">
                  <c:v>80.015392924655686</c:v>
                </c:pt>
                <c:pt idx="78">
                  <c:v>78.914757591901974</c:v>
                </c:pt>
                <c:pt idx="79">
                  <c:v>71.358900144717794</c:v>
                </c:pt>
                <c:pt idx="80">
                  <c:v>64.97756762700682</c:v>
                </c:pt>
                <c:pt idx="81">
                  <c:v>60.475409836065573</c:v>
                </c:pt>
                <c:pt idx="82">
                  <c:v>56.903879559930516</c:v>
                </c:pt>
                <c:pt idx="83">
                  <c:v>46.938638542665387</c:v>
                </c:pt>
                <c:pt idx="84">
                  <c:v>41.759407069555301</c:v>
                </c:pt>
                <c:pt idx="85">
                  <c:v>32.545790003354576</c:v>
                </c:pt>
                <c:pt idx="86">
                  <c:v>25.951756356122541</c:v>
                </c:pt>
                <c:pt idx="87">
                  <c:v>21.749677712899064</c:v>
                </c:pt>
                <c:pt idx="88">
                  <c:v>16.304031839418585</c:v>
                </c:pt>
                <c:pt idx="89">
                  <c:v>12.308490817141337</c:v>
                </c:pt>
                <c:pt idx="90">
                  <c:v>9.270455323519343</c:v>
                </c:pt>
                <c:pt idx="91">
                  <c:v>5.4505031392448613</c:v>
                </c:pt>
                <c:pt idx="92">
                  <c:v>1.7532534278005176</c:v>
                </c:pt>
                <c:pt idx="93">
                  <c:v>0.29339892302982995</c:v>
                </c:pt>
                <c:pt idx="94">
                  <c:v>76.559462254395044</c:v>
                </c:pt>
                <c:pt idx="95">
                  <c:v>62.545858928193176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26.586206896551722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7.7648140697741175E-2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2.1130595795664897E-2</c:v>
                </c:pt>
                <c:pt idx="155">
                  <c:v>0.20089346473776493</c:v>
                </c:pt>
                <c:pt idx="156">
                  <c:v>0.2457281904137063</c:v>
                </c:pt>
                <c:pt idx="157">
                  <c:v>0.45700381735000151</c:v>
                </c:pt>
                <c:pt idx="158">
                  <c:v>1.014978003156799</c:v>
                </c:pt>
                <c:pt idx="159">
                  <c:v>1.7650024424188238</c:v>
                </c:pt>
                <c:pt idx="160">
                  <c:v>3.8231511254019299</c:v>
                </c:pt>
                <c:pt idx="161">
                  <c:v>4.7850283466388985</c:v>
                </c:pt>
                <c:pt idx="162">
                  <c:v>6.6663600122661757</c:v>
                </c:pt>
                <c:pt idx="163">
                  <c:v>7.9979304759905219</c:v>
                </c:pt>
                <c:pt idx="164">
                  <c:v>9.1276078590236978</c:v>
                </c:pt>
                <c:pt idx="165">
                  <c:v>9.9457092819614719</c:v>
                </c:pt>
                <c:pt idx="166">
                  <c:v>11.448649321548611</c:v>
                </c:pt>
                <c:pt idx="167">
                  <c:v>12.686131386861314</c:v>
                </c:pt>
                <c:pt idx="168">
                  <c:v>14.043626516899009</c:v>
                </c:pt>
                <c:pt idx="169">
                  <c:v>16.176228100309171</c:v>
                </c:pt>
                <c:pt idx="170">
                  <c:v>17.306077617769098</c:v>
                </c:pt>
                <c:pt idx="171">
                  <c:v>18.564366766662321</c:v>
                </c:pt>
                <c:pt idx="172">
                  <c:v>20.751740139211137</c:v>
                </c:pt>
                <c:pt idx="173">
                  <c:v>22.094688221709006</c:v>
                </c:pt>
                <c:pt idx="174">
                  <c:v>23.131274131274132</c:v>
                </c:pt>
                <c:pt idx="175">
                  <c:v>24.606008876749744</c:v>
                </c:pt>
                <c:pt idx="176">
                  <c:v>26.849981433345711</c:v>
                </c:pt>
                <c:pt idx="177">
                  <c:v>28.913251570445709</c:v>
                </c:pt>
                <c:pt idx="178">
                  <c:v>30.499370012599748</c:v>
                </c:pt>
                <c:pt idx="179">
                  <c:v>32.489618218352312</c:v>
                </c:pt>
                <c:pt idx="180">
                  <c:v>32.564555829044529</c:v>
                </c:pt>
                <c:pt idx="181">
                  <c:v>32.478406427854033</c:v>
                </c:pt>
                <c:pt idx="182">
                  <c:v>33.419458467186779</c:v>
                </c:pt>
                <c:pt idx="183">
                  <c:v>35.670333700036672</c:v>
                </c:pt>
                <c:pt idx="184">
                  <c:v>37.819875776397517</c:v>
                </c:pt>
                <c:pt idx="185">
                  <c:v>37.530696121243253</c:v>
                </c:pt>
                <c:pt idx="186">
                  <c:v>37.343558282208591</c:v>
                </c:pt>
                <c:pt idx="187">
                  <c:v>36.206994915044028</c:v>
                </c:pt>
                <c:pt idx="188">
                  <c:v>35.83241252302026</c:v>
                </c:pt>
                <c:pt idx="189">
                  <c:v>36.25319756612442</c:v>
                </c:pt>
                <c:pt idx="190">
                  <c:v>32.68137420006736</c:v>
                </c:pt>
                <c:pt idx="191">
                  <c:v>29.73140749846343</c:v>
                </c:pt>
                <c:pt idx="192">
                  <c:v>29.009002700810242</c:v>
                </c:pt>
                <c:pt idx="193">
                  <c:v>25.382903878286868</c:v>
                </c:pt>
                <c:pt idx="194">
                  <c:v>24.008336112037348</c:v>
                </c:pt>
                <c:pt idx="195">
                  <c:v>22.986567522187574</c:v>
                </c:pt>
                <c:pt idx="196">
                  <c:v>20.125272868107878</c:v>
                </c:pt>
                <c:pt idx="197">
                  <c:v>16.019345322516592</c:v>
                </c:pt>
                <c:pt idx="198">
                  <c:v>12.756419662509172</c:v>
                </c:pt>
                <c:pt idx="199">
                  <c:v>10.278619496973569</c:v>
                </c:pt>
                <c:pt idx="200">
                  <c:v>7.898644439830333</c:v>
                </c:pt>
                <c:pt idx="201">
                  <c:v>4.6241915224686458</c:v>
                </c:pt>
                <c:pt idx="202">
                  <c:v>2.026359592046727</c:v>
                </c:pt>
                <c:pt idx="203">
                  <c:v>0.68252917786015943</c:v>
                </c:pt>
                <c:pt idx="204">
                  <c:v>0.28491763677948234</c:v>
                </c:pt>
                <c:pt idx="205">
                  <c:v>7.6886645102129947E-3</c:v>
                </c:pt>
                <c:pt idx="206">
                  <c:v>0</c:v>
                </c:pt>
              </c:numCache>
            </c:numRef>
          </c:yVal>
          <c:smooth val="1"/>
        </c:ser>
        <c:axId val="188077184"/>
        <c:axId val="73783936"/>
      </c:scatterChart>
      <c:valAx>
        <c:axId val="160947200"/>
        <c:scaling>
          <c:orientation val="minMax"/>
          <c:max val="43384.800000000003"/>
          <c:min val="43382.9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</c:title>
        <c:numFmt formatCode="dd\.mm\.yy\ \ \ hh:mm" sourceLinked="1"/>
        <c:tickLblPos val="nextTo"/>
        <c:txPr>
          <a:bodyPr rot="-900000" vert="horz"/>
          <a:lstStyle/>
          <a:p>
            <a:pPr>
              <a:defRPr/>
            </a:pPr>
            <a:endParaRPr lang="de-DE"/>
          </a:p>
        </c:txPr>
        <c:crossAx val="163471360"/>
        <c:crosses val="autoZero"/>
        <c:crossBetween val="midCat"/>
      </c:valAx>
      <c:valAx>
        <c:axId val="163471360"/>
        <c:scaling>
          <c:orientation val="minMax"/>
          <c:max val="1.1000000000000001"/>
          <c:min val="0.3000000000000000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Humidity</a:t>
                </a:r>
              </a:p>
            </c:rich>
          </c:tx>
          <c:layout/>
        </c:title>
        <c:numFmt formatCode="0.0%" sourceLinked="1"/>
        <c:tickLblPos val="nextTo"/>
        <c:crossAx val="160947200"/>
        <c:crosses val="autoZero"/>
        <c:crossBetween val="midCat"/>
      </c:valAx>
      <c:valAx>
        <c:axId val="73783936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Light</a:t>
                </a:r>
              </a:p>
            </c:rich>
          </c:tx>
          <c:layout/>
        </c:title>
        <c:numFmt formatCode="0.0" sourceLinked="1"/>
        <c:tickLblPos val="nextTo"/>
        <c:crossAx val="188077184"/>
        <c:crosses val="max"/>
        <c:crossBetween val="midCat"/>
      </c:valAx>
      <c:valAx>
        <c:axId val="188077184"/>
        <c:scaling>
          <c:orientation val="minMax"/>
        </c:scaling>
        <c:delete val="1"/>
        <c:axPos val="b"/>
        <c:numFmt formatCode="dd\.mm\.yy\ \ \ hh:mm" sourceLinked="1"/>
        <c:tickLblPos val="none"/>
        <c:crossAx val="73783936"/>
        <c:crossBetween val="midCat"/>
      </c:valAx>
    </c:plotArea>
    <c:legend>
      <c:legendPos val="r"/>
      <c:layout>
        <c:manualLayout>
          <c:xMode val="edge"/>
          <c:yMode val="edge"/>
          <c:x val="0.10766686710763675"/>
          <c:y val="0.12811782469069161"/>
          <c:w val="0.16373020645419925"/>
          <c:h val="0.2245766689745004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</c:chart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Temperature and Humidity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Tabelle1!$C$1</c:f>
              <c:strCache>
                <c:ptCount val="1"/>
                <c:pt idx="0">
                  <c:v>Temp 1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Tabelle1!$C$2:$C$208</c:f>
              <c:numCache>
                <c:formatCode>0.0</c:formatCode>
                <c:ptCount val="207"/>
                <c:pt idx="0">
                  <c:v>17.7</c:v>
                </c:pt>
                <c:pt idx="1">
                  <c:v>17.7</c:v>
                </c:pt>
                <c:pt idx="2">
                  <c:v>17.5</c:v>
                </c:pt>
                <c:pt idx="3">
                  <c:v>17.399999999999999</c:v>
                </c:pt>
                <c:pt idx="4">
                  <c:v>17.399999999999999</c:v>
                </c:pt>
                <c:pt idx="5">
                  <c:v>17.3</c:v>
                </c:pt>
                <c:pt idx="6">
                  <c:v>17.3</c:v>
                </c:pt>
                <c:pt idx="7">
                  <c:v>17.2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17.100000000000001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16.899999999999999</c:v>
                </c:pt>
                <c:pt idx="24">
                  <c:v>16.899999999999999</c:v>
                </c:pt>
                <c:pt idx="25">
                  <c:v>16.899999999999999</c:v>
                </c:pt>
                <c:pt idx="26">
                  <c:v>16.899999999999999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16.899999999999999</c:v>
                </c:pt>
                <c:pt idx="39">
                  <c:v>17</c:v>
                </c:pt>
                <c:pt idx="40">
                  <c:v>16.899999999999999</c:v>
                </c:pt>
                <c:pt idx="41">
                  <c:v>16.899999999999999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17.100000000000001</c:v>
                </c:pt>
                <c:pt idx="48">
                  <c:v>17.2</c:v>
                </c:pt>
                <c:pt idx="49">
                  <c:v>17.3</c:v>
                </c:pt>
                <c:pt idx="50">
                  <c:v>17.399999999999999</c:v>
                </c:pt>
                <c:pt idx="51">
                  <c:v>17.399999999999999</c:v>
                </c:pt>
                <c:pt idx="52">
                  <c:v>17.5</c:v>
                </c:pt>
                <c:pt idx="53">
                  <c:v>17.5</c:v>
                </c:pt>
                <c:pt idx="54">
                  <c:v>17.5</c:v>
                </c:pt>
                <c:pt idx="55">
                  <c:v>17.399999999999999</c:v>
                </c:pt>
                <c:pt idx="56">
                  <c:v>17.399999999999999</c:v>
                </c:pt>
                <c:pt idx="57">
                  <c:v>17.399999999999999</c:v>
                </c:pt>
                <c:pt idx="58">
                  <c:v>17.399999999999999</c:v>
                </c:pt>
                <c:pt idx="59">
                  <c:v>17.3</c:v>
                </c:pt>
                <c:pt idx="60">
                  <c:v>17.399999999999999</c:v>
                </c:pt>
                <c:pt idx="61">
                  <c:v>17.3</c:v>
                </c:pt>
                <c:pt idx="62">
                  <c:v>17.3</c:v>
                </c:pt>
                <c:pt idx="63">
                  <c:v>17.399999999999999</c:v>
                </c:pt>
                <c:pt idx="64">
                  <c:v>17.399999999999999</c:v>
                </c:pt>
                <c:pt idx="65">
                  <c:v>17.399999999999999</c:v>
                </c:pt>
                <c:pt idx="66">
                  <c:v>17.600000000000001</c:v>
                </c:pt>
                <c:pt idx="67">
                  <c:v>17.8</c:v>
                </c:pt>
                <c:pt idx="68">
                  <c:v>17.7</c:v>
                </c:pt>
                <c:pt idx="69">
                  <c:v>17.5</c:v>
                </c:pt>
                <c:pt idx="70">
                  <c:v>17.399999999999999</c:v>
                </c:pt>
                <c:pt idx="71">
                  <c:v>17.3</c:v>
                </c:pt>
                <c:pt idx="72">
                  <c:v>17.3</c:v>
                </c:pt>
                <c:pt idx="73">
                  <c:v>17.3</c:v>
                </c:pt>
                <c:pt idx="74">
                  <c:v>17.3</c:v>
                </c:pt>
                <c:pt idx="75">
                  <c:v>17.2</c:v>
                </c:pt>
                <c:pt idx="76">
                  <c:v>17.2</c:v>
                </c:pt>
                <c:pt idx="77">
                  <c:v>17.2</c:v>
                </c:pt>
                <c:pt idx="78">
                  <c:v>17.2</c:v>
                </c:pt>
                <c:pt idx="79">
                  <c:v>17.2</c:v>
                </c:pt>
                <c:pt idx="80">
                  <c:v>17.2</c:v>
                </c:pt>
                <c:pt idx="81">
                  <c:v>17.2</c:v>
                </c:pt>
                <c:pt idx="82">
                  <c:v>17.2</c:v>
                </c:pt>
                <c:pt idx="83">
                  <c:v>17.2</c:v>
                </c:pt>
                <c:pt idx="84">
                  <c:v>17.2</c:v>
                </c:pt>
                <c:pt idx="85">
                  <c:v>17.2</c:v>
                </c:pt>
                <c:pt idx="86">
                  <c:v>17.399999999999999</c:v>
                </c:pt>
                <c:pt idx="87">
                  <c:v>17.7</c:v>
                </c:pt>
                <c:pt idx="88">
                  <c:v>18.3</c:v>
                </c:pt>
                <c:pt idx="89">
                  <c:v>18</c:v>
                </c:pt>
                <c:pt idx="90">
                  <c:v>17.7</c:v>
                </c:pt>
                <c:pt idx="91">
                  <c:v>17.5</c:v>
                </c:pt>
                <c:pt idx="92">
                  <c:v>17.3</c:v>
                </c:pt>
                <c:pt idx="93">
                  <c:v>17.3</c:v>
                </c:pt>
                <c:pt idx="94">
                  <c:v>17.399999999999999</c:v>
                </c:pt>
                <c:pt idx="95">
                  <c:v>17.600000000000001</c:v>
                </c:pt>
                <c:pt idx="96">
                  <c:v>17.5</c:v>
                </c:pt>
                <c:pt idx="97">
                  <c:v>17.399999999999999</c:v>
                </c:pt>
                <c:pt idx="98">
                  <c:v>17.3</c:v>
                </c:pt>
                <c:pt idx="99">
                  <c:v>17.3</c:v>
                </c:pt>
                <c:pt idx="100">
                  <c:v>17.3</c:v>
                </c:pt>
                <c:pt idx="101">
                  <c:v>17.5</c:v>
                </c:pt>
                <c:pt idx="102">
                  <c:v>15.1</c:v>
                </c:pt>
                <c:pt idx="103">
                  <c:v>10.199999999999999</c:v>
                </c:pt>
                <c:pt idx="104">
                  <c:v>6.5</c:v>
                </c:pt>
                <c:pt idx="105">
                  <c:v>5.8</c:v>
                </c:pt>
                <c:pt idx="106">
                  <c:v>6.2</c:v>
                </c:pt>
                <c:pt idx="107">
                  <c:v>6.9</c:v>
                </c:pt>
                <c:pt idx="108">
                  <c:v>7.6</c:v>
                </c:pt>
                <c:pt idx="109">
                  <c:v>8.8000000000000007</c:v>
                </c:pt>
                <c:pt idx="110">
                  <c:v>9.1999999999999993</c:v>
                </c:pt>
                <c:pt idx="111">
                  <c:v>9.5</c:v>
                </c:pt>
                <c:pt idx="112">
                  <c:v>9.9</c:v>
                </c:pt>
                <c:pt idx="113">
                  <c:v>10.4</c:v>
                </c:pt>
                <c:pt idx="114">
                  <c:v>11</c:v>
                </c:pt>
                <c:pt idx="115">
                  <c:v>11.4</c:v>
                </c:pt>
                <c:pt idx="116">
                  <c:v>11.8</c:v>
                </c:pt>
                <c:pt idx="117">
                  <c:v>12.2</c:v>
                </c:pt>
                <c:pt idx="118">
                  <c:v>12.8</c:v>
                </c:pt>
                <c:pt idx="119">
                  <c:v>12.9</c:v>
                </c:pt>
                <c:pt idx="120">
                  <c:v>13.1</c:v>
                </c:pt>
                <c:pt idx="121">
                  <c:v>14.4</c:v>
                </c:pt>
                <c:pt idx="122">
                  <c:v>15.3</c:v>
                </c:pt>
                <c:pt idx="123">
                  <c:v>15.5</c:v>
                </c:pt>
                <c:pt idx="124">
                  <c:v>15.6</c:v>
                </c:pt>
                <c:pt idx="125">
                  <c:v>15.7</c:v>
                </c:pt>
                <c:pt idx="126">
                  <c:v>15.8</c:v>
                </c:pt>
                <c:pt idx="127">
                  <c:v>15.9</c:v>
                </c:pt>
                <c:pt idx="128">
                  <c:v>16</c:v>
                </c:pt>
                <c:pt idx="129">
                  <c:v>16</c:v>
                </c:pt>
                <c:pt idx="130">
                  <c:v>16.100000000000001</c:v>
                </c:pt>
                <c:pt idx="131">
                  <c:v>16.2</c:v>
                </c:pt>
                <c:pt idx="132">
                  <c:v>16.2</c:v>
                </c:pt>
                <c:pt idx="133">
                  <c:v>16.2</c:v>
                </c:pt>
                <c:pt idx="134">
                  <c:v>16.3</c:v>
                </c:pt>
                <c:pt idx="135">
                  <c:v>16.3</c:v>
                </c:pt>
                <c:pt idx="136">
                  <c:v>16.3</c:v>
                </c:pt>
                <c:pt idx="137">
                  <c:v>16.399999999999999</c:v>
                </c:pt>
                <c:pt idx="138">
                  <c:v>16.399999999999999</c:v>
                </c:pt>
                <c:pt idx="139">
                  <c:v>16.399999999999999</c:v>
                </c:pt>
                <c:pt idx="140">
                  <c:v>16.5</c:v>
                </c:pt>
                <c:pt idx="141">
                  <c:v>16.5</c:v>
                </c:pt>
                <c:pt idx="142">
                  <c:v>16.5</c:v>
                </c:pt>
                <c:pt idx="143">
                  <c:v>16.600000000000001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16.600000000000001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16.600000000000001</c:v>
                </c:pt>
                <c:pt idx="150">
                  <c:v>16.7</c:v>
                </c:pt>
                <c:pt idx="151">
                  <c:v>16.7</c:v>
                </c:pt>
                <c:pt idx="152">
                  <c:v>16.8</c:v>
                </c:pt>
                <c:pt idx="153">
                  <c:v>16.8</c:v>
                </c:pt>
                <c:pt idx="154">
                  <c:v>16.8</c:v>
                </c:pt>
                <c:pt idx="155">
                  <c:v>17.100000000000001</c:v>
                </c:pt>
                <c:pt idx="156">
                  <c:v>17</c:v>
                </c:pt>
                <c:pt idx="157">
                  <c:v>17</c:v>
                </c:pt>
                <c:pt idx="158">
                  <c:v>17.100000000000001</c:v>
                </c:pt>
                <c:pt idx="159">
                  <c:v>16.899999999999999</c:v>
                </c:pt>
                <c:pt idx="160">
                  <c:v>16.899999999999999</c:v>
                </c:pt>
                <c:pt idx="161">
                  <c:v>16.8</c:v>
                </c:pt>
                <c:pt idx="162">
                  <c:v>16.8</c:v>
                </c:pt>
                <c:pt idx="163">
                  <c:v>16.8</c:v>
                </c:pt>
                <c:pt idx="164">
                  <c:v>16.7</c:v>
                </c:pt>
                <c:pt idx="165">
                  <c:v>16.7</c:v>
                </c:pt>
                <c:pt idx="166">
                  <c:v>16.7</c:v>
                </c:pt>
                <c:pt idx="167">
                  <c:v>16.7</c:v>
                </c:pt>
                <c:pt idx="168">
                  <c:v>16.7</c:v>
                </c:pt>
                <c:pt idx="169">
                  <c:v>16.7</c:v>
                </c:pt>
                <c:pt idx="170">
                  <c:v>16.600000000000001</c:v>
                </c:pt>
                <c:pt idx="171">
                  <c:v>16.7</c:v>
                </c:pt>
                <c:pt idx="172">
                  <c:v>16.600000000000001</c:v>
                </c:pt>
                <c:pt idx="173">
                  <c:v>16.600000000000001</c:v>
                </c:pt>
                <c:pt idx="174">
                  <c:v>16.600000000000001</c:v>
                </c:pt>
                <c:pt idx="175">
                  <c:v>16.600000000000001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16.600000000000001</c:v>
                </c:pt>
                <c:pt idx="179">
                  <c:v>16.600000000000001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16.7</c:v>
                </c:pt>
                <c:pt idx="184">
                  <c:v>16.7</c:v>
                </c:pt>
                <c:pt idx="185">
                  <c:v>16.7</c:v>
                </c:pt>
                <c:pt idx="186">
                  <c:v>16.7</c:v>
                </c:pt>
                <c:pt idx="187">
                  <c:v>16.7</c:v>
                </c:pt>
                <c:pt idx="188">
                  <c:v>16.7</c:v>
                </c:pt>
                <c:pt idx="189">
                  <c:v>16.7</c:v>
                </c:pt>
                <c:pt idx="190">
                  <c:v>16.7</c:v>
                </c:pt>
                <c:pt idx="191">
                  <c:v>16.8</c:v>
                </c:pt>
                <c:pt idx="192">
                  <c:v>16.8</c:v>
                </c:pt>
                <c:pt idx="193">
                  <c:v>16.8</c:v>
                </c:pt>
                <c:pt idx="194">
                  <c:v>16.8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16.899999999999999</c:v>
                </c:pt>
                <c:pt idx="202">
                  <c:v>16.899999999999999</c:v>
                </c:pt>
                <c:pt idx="203">
                  <c:v>16.8</c:v>
                </c:pt>
                <c:pt idx="204">
                  <c:v>16.8</c:v>
                </c:pt>
                <c:pt idx="205">
                  <c:v>16.8</c:v>
                </c:pt>
                <c:pt idx="206">
                  <c:v>16.8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Tabelle1!$D$1</c:f>
              <c:strCache>
                <c:ptCount val="1"/>
                <c:pt idx="0">
                  <c:v>Temp 2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Tabelle1!$D$2:$D$208</c:f>
              <c:numCache>
                <c:formatCode>0.0</c:formatCode>
                <c:ptCount val="207"/>
                <c:pt idx="0">
                  <c:v>17.899999999999999</c:v>
                </c:pt>
                <c:pt idx="1">
                  <c:v>17.8</c:v>
                </c:pt>
                <c:pt idx="2">
                  <c:v>17.600000000000001</c:v>
                </c:pt>
                <c:pt idx="3">
                  <c:v>17.5</c:v>
                </c:pt>
                <c:pt idx="4">
                  <c:v>17.399999999999999</c:v>
                </c:pt>
                <c:pt idx="5">
                  <c:v>17.399999999999999</c:v>
                </c:pt>
                <c:pt idx="6">
                  <c:v>17.3</c:v>
                </c:pt>
                <c:pt idx="7">
                  <c:v>17.3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17.100000000000001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17.100000000000001</c:v>
                </c:pt>
                <c:pt idx="48">
                  <c:v>17.2</c:v>
                </c:pt>
                <c:pt idx="49">
                  <c:v>17.3</c:v>
                </c:pt>
                <c:pt idx="50">
                  <c:v>17.399999999999999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18</c:v>
                </c:pt>
                <c:pt idx="55">
                  <c:v>17.8</c:v>
                </c:pt>
                <c:pt idx="56">
                  <c:v>17.600000000000001</c:v>
                </c:pt>
                <c:pt idx="57">
                  <c:v>17.600000000000001</c:v>
                </c:pt>
                <c:pt idx="58">
                  <c:v>17.5</c:v>
                </c:pt>
                <c:pt idx="59">
                  <c:v>17.399999999999999</c:v>
                </c:pt>
                <c:pt idx="60">
                  <c:v>17.399999999999999</c:v>
                </c:pt>
                <c:pt idx="61">
                  <c:v>17.399999999999999</c:v>
                </c:pt>
                <c:pt idx="62">
                  <c:v>17.399999999999999</c:v>
                </c:pt>
                <c:pt idx="63">
                  <c:v>17.5</c:v>
                </c:pt>
                <c:pt idx="64">
                  <c:v>17.399999999999999</c:v>
                </c:pt>
                <c:pt idx="65">
                  <c:v>17.399999999999999</c:v>
                </c:pt>
                <c:pt idx="66">
                  <c:v>17.5</c:v>
                </c:pt>
                <c:pt idx="67">
                  <c:v>17.600000000000001</c:v>
                </c:pt>
                <c:pt idx="68">
                  <c:v>17.600000000000001</c:v>
                </c:pt>
                <c:pt idx="69">
                  <c:v>17.5</c:v>
                </c:pt>
                <c:pt idx="70">
                  <c:v>17.5</c:v>
                </c:pt>
                <c:pt idx="71">
                  <c:v>17.399999999999999</c:v>
                </c:pt>
                <c:pt idx="72">
                  <c:v>17.399999999999999</c:v>
                </c:pt>
                <c:pt idx="73">
                  <c:v>17.399999999999999</c:v>
                </c:pt>
                <c:pt idx="74">
                  <c:v>17.399999999999999</c:v>
                </c:pt>
                <c:pt idx="75">
                  <c:v>17.3</c:v>
                </c:pt>
                <c:pt idx="76">
                  <c:v>17.3</c:v>
                </c:pt>
                <c:pt idx="77">
                  <c:v>17.3</c:v>
                </c:pt>
                <c:pt idx="78">
                  <c:v>17.3</c:v>
                </c:pt>
                <c:pt idx="79">
                  <c:v>17.3</c:v>
                </c:pt>
                <c:pt idx="80">
                  <c:v>17.3</c:v>
                </c:pt>
                <c:pt idx="81">
                  <c:v>17.3</c:v>
                </c:pt>
                <c:pt idx="82">
                  <c:v>17.3</c:v>
                </c:pt>
                <c:pt idx="83">
                  <c:v>17.3</c:v>
                </c:pt>
                <c:pt idx="84">
                  <c:v>17.3</c:v>
                </c:pt>
                <c:pt idx="85">
                  <c:v>17.3</c:v>
                </c:pt>
                <c:pt idx="86">
                  <c:v>17.600000000000001</c:v>
                </c:pt>
                <c:pt idx="87">
                  <c:v>18.2</c:v>
                </c:pt>
                <c:pt idx="88">
                  <c:v>18.399999999999999</c:v>
                </c:pt>
                <c:pt idx="89">
                  <c:v>18</c:v>
                </c:pt>
                <c:pt idx="90">
                  <c:v>17.7</c:v>
                </c:pt>
                <c:pt idx="91">
                  <c:v>17.5</c:v>
                </c:pt>
                <c:pt idx="92">
                  <c:v>17.399999999999999</c:v>
                </c:pt>
                <c:pt idx="93">
                  <c:v>17.3</c:v>
                </c:pt>
                <c:pt idx="94">
                  <c:v>17.399999999999999</c:v>
                </c:pt>
                <c:pt idx="95">
                  <c:v>17.7</c:v>
                </c:pt>
                <c:pt idx="96">
                  <c:v>17.600000000000001</c:v>
                </c:pt>
                <c:pt idx="97">
                  <c:v>17.5</c:v>
                </c:pt>
                <c:pt idx="98">
                  <c:v>17.399999999999999</c:v>
                </c:pt>
                <c:pt idx="99">
                  <c:v>17.399999999999999</c:v>
                </c:pt>
                <c:pt idx="100">
                  <c:v>17.3</c:v>
                </c:pt>
                <c:pt idx="101">
                  <c:v>17.5</c:v>
                </c:pt>
                <c:pt idx="102">
                  <c:v>13.2</c:v>
                </c:pt>
                <c:pt idx="103">
                  <c:v>9</c:v>
                </c:pt>
                <c:pt idx="104">
                  <c:v>6.2</c:v>
                </c:pt>
                <c:pt idx="105">
                  <c:v>5.6</c:v>
                </c:pt>
                <c:pt idx="106">
                  <c:v>6.1</c:v>
                </c:pt>
                <c:pt idx="107">
                  <c:v>6.8</c:v>
                </c:pt>
                <c:pt idx="108">
                  <c:v>7.4</c:v>
                </c:pt>
                <c:pt idx="109">
                  <c:v>8.6999999999999993</c:v>
                </c:pt>
                <c:pt idx="110">
                  <c:v>9</c:v>
                </c:pt>
                <c:pt idx="111">
                  <c:v>9.3000000000000007</c:v>
                </c:pt>
                <c:pt idx="112">
                  <c:v>9.8000000000000007</c:v>
                </c:pt>
                <c:pt idx="113">
                  <c:v>10.3</c:v>
                </c:pt>
                <c:pt idx="114">
                  <c:v>10.9</c:v>
                </c:pt>
                <c:pt idx="115">
                  <c:v>11.3</c:v>
                </c:pt>
                <c:pt idx="116">
                  <c:v>11.7</c:v>
                </c:pt>
                <c:pt idx="117">
                  <c:v>12.2</c:v>
                </c:pt>
                <c:pt idx="118">
                  <c:v>12.9</c:v>
                </c:pt>
                <c:pt idx="119">
                  <c:v>13.3</c:v>
                </c:pt>
                <c:pt idx="120">
                  <c:v>13.4</c:v>
                </c:pt>
                <c:pt idx="121">
                  <c:v>14.9</c:v>
                </c:pt>
                <c:pt idx="122">
                  <c:v>15.9</c:v>
                </c:pt>
                <c:pt idx="123">
                  <c:v>16</c:v>
                </c:pt>
                <c:pt idx="124">
                  <c:v>16.100000000000001</c:v>
                </c:pt>
                <c:pt idx="125">
                  <c:v>16.2</c:v>
                </c:pt>
                <c:pt idx="126">
                  <c:v>16.3</c:v>
                </c:pt>
                <c:pt idx="127">
                  <c:v>16.3</c:v>
                </c:pt>
                <c:pt idx="128">
                  <c:v>16.3</c:v>
                </c:pt>
                <c:pt idx="129">
                  <c:v>16.399999999999999</c:v>
                </c:pt>
                <c:pt idx="130">
                  <c:v>16.399999999999999</c:v>
                </c:pt>
                <c:pt idx="131">
                  <c:v>16.399999999999999</c:v>
                </c:pt>
                <c:pt idx="132">
                  <c:v>16.5</c:v>
                </c:pt>
                <c:pt idx="133">
                  <c:v>16.5</c:v>
                </c:pt>
                <c:pt idx="134">
                  <c:v>16.5</c:v>
                </c:pt>
                <c:pt idx="135">
                  <c:v>16.5</c:v>
                </c:pt>
                <c:pt idx="136">
                  <c:v>16.600000000000001</c:v>
                </c:pt>
                <c:pt idx="137">
                  <c:v>16.600000000000001</c:v>
                </c:pt>
                <c:pt idx="138">
                  <c:v>16.600000000000001</c:v>
                </c:pt>
                <c:pt idx="139">
                  <c:v>16.7</c:v>
                </c:pt>
                <c:pt idx="140">
                  <c:v>16.7</c:v>
                </c:pt>
                <c:pt idx="141">
                  <c:v>16.7</c:v>
                </c:pt>
                <c:pt idx="142">
                  <c:v>16.8</c:v>
                </c:pt>
                <c:pt idx="143">
                  <c:v>16.8</c:v>
                </c:pt>
                <c:pt idx="144">
                  <c:v>16.8</c:v>
                </c:pt>
                <c:pt idx="145">
                  <c:v>16.8</c:v>
                </c:pt>
                <c:pt idx="146">
                  <c:v>16.8</c:v>
                </c:pt>
                <c:pt idx="147">
                  <c:v>16.8</c:v>
                </c:pt>
                <c:pt idx="148">
                  <c:v>16.8</c:v>
                </c:pt>
                <c:pt idx="149">
                  <c:v>16.8</c:v>
                </c:pt>
                <c:pt idx="150">
                  <c:v>16.8</c:v>
                </c:pt>
                <c:pt idx="151">
                  <c:v>16.8</c:v>
                </c:pt>
                <c:pt idx="152">
                  <c:v>17</c:v>
                </c:pt>
                <c:pt idx="153">
                  <c:v>17</c:v>
                </c:pt>
                <c:pt idx="154">
                  <c:v>16.899999999999999</c:v>
                </c:pt>
                <c:pt idx="155">
                  <c:v>17.3</c:v>
                </c:pt>
                <c:pt idx="156">
                  <c:v>17.2</c:v>
                </c:pt>
                <c:pt idx="157">
                  <c:v>17</c:v>
                </c:pt>
                <c:pt idx="158">
                  <c:v>17.100000000000001</c:v>
                </c:pt>
                <c:pt idx="159">
                  <c:v>17</c:v>
                </c:pt>
                <c:pt idx="160">
                  <c:v>16.899999999999999</c:v>
                </c:pt>
                <c:pt idx="161">
                  <c:v>16.899999999999999</c:v>
                </c:pt>
                <c:pt idx="162">
                  <c:v>16.8</c:v>
                </c:pt>
                <c:pt idx="163">
                  <c:v>16.8</c:v>
                </c:pt>
                <c:pt idx="164">
                  <c:v>16.8</c:v>
                </c:pt>
                <c:pt idx="165">
                  <c:v>16.7</c:v>
                </c:pt>
                <c:pt idx="166">
                  <c:v>16.7</c:v>
                </c:pt>
                <c:pt idx="167">
                  <c:v>16.8</c:v>
                </c:pt>
                <c:pt idx="168">
                  <c:v>16.8</c:v>
                </c:pt>
                <c:pt idx="169">
                  <c:v>16.7</c:v>
                </c:pt>
                <c:pt idx="170">
                  <c:v>16.7</c:v>
                </c:pt>
                <c:pt idx="171">
                  <c:v>16.7</c:v>
                </c:pt>
                <c:pt idx="172">
                  <c:v>16.7</c:v>
                </c:pt>
                <c:pt idx="173">
                  <c:v>16.7</c:v>
                </c:pt>
                <c:pt idx="174">
                  <c:v>16.7</c:v>
                </c:pt>
                <c:pt idx="175">
                  <c:v>16.7</c:v>
                </c:pt>
                <c:pt idx="176">
                  <c:v>16.7</c:v>
                </c:pt>
                <c:pt idx="177">
                  <c:v>16.7</c:v>
                </c:pt>
                <c:pt idx="178">
                  <c:v>16.7</c:v>
                </c:pt>
                <c:pt idx="179">
                  <c:v>16.7</c:v>
                </c:pt>
                <c:pt idx="180">
                  <c:v>16.8</c:v>
                </c:pt>
                <c:pt idx="181">
                  <c:v>16.7</c:v>
                </c:pt>
                <c:pt idx="182">
                  <c:v>16.7</c:v>
                </c:pt>
                <c:pt idx="183">
                  <c:v>16.8</c:v>
                </c:pt>
                <c:pt idx="184">
                  <c:v>16.7</c:v>
                </c:pt>
                <c:pt idx="185">
                  <c:v>16.8</c:v>
                </c:pt>
                <c:pt idx="186">
                  <c:v>16.8</c:v>
                </c:pt>
                <c:pt idx="187">
                  <c:v>16.8</c:v>
                </c:pt>
                <c:pt idx="188">
                  <c:v>16.8</c:v>
                </c:pt>
                <c:pt idx="189">
                  <c:v>16.8</c:v>
                </c:pt>
                <c:pt idx="190">
                  <c:v>16.8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</c:v>
                </c:pt>
                <c:pt idx="196">
                  <c:v>16.899999999999999</c:v>
                </c:pt>
                <c:pt idx="197">
                  <c:v>16.899999999999999</c:v>
                </c:pt>
                <c:pt idx="198">
                  <c:v>16.899999999999999</c:v>
                </c:pt>
                <c:pt idx="199">
                  <c:v>16.899999999999999</c:v>
                </c:pt>
                <c:pt idx="200">
                  <c:v>17</c:v>
                </c:pt>
                <c:pt idx="201">
                  <c:v>16.899999999999999</c:v>
                </c:pt>
                <c:pt idx="202">
                  <c:v>16.899999999999999</c:v>
                </c:pt>
                <c:pt idx="203">
                  <c:v>16.899999999999999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16.899999999999999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Tabelle1!$E$1</c:f>
              <c:strCache>
                <c:ptCount val="1"/>
                <c:pt idx="0">
                  <c:v>Temp 3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Tabelle1!$E$2:$E$208</c:f>
              <c:numCache>
                <c:formatCode>0.0</c:formatCode>
                <c:ptCount val="207"/>
                <c:pt idx="0">
                  <c:v>17.600000000000001</c:v>
                </c:pt>
                <c:pt idx="1">
                  <c:v>17.600000000000001</c:v>
                </c:pt>
                <c:pt idx="2">
                  <c:v>17.399999999999999</c:v>
                </c:pt>
                <c:pt idx="3">
                  <c:v>17.399999999999999</c:v>
                </c:pt>
                <c:pt idx="4">
                  <c:v>17.3</c:v>
                </c:pt>
                <c:pt idx="5">
                  <c:v>17.3</c:v>
                </c:pt>
                <c:pt idx="6">
                  <c:v>17.2</c:v>
                </c:pt>
                <c:pt idx="7">
                  <c:v>17.2</c:v>
                </c:pt>
                <c:pt idx="8">
                  <c:v>17.100000000000001</c:v>
                </c:pt>
                <c:pt idx="9">
                  <c:v>17.100000000000001</c:v>
                </c:pt>
                <c:pt idx="10">
                  <c:v>17.100000000000001</c:v>
                </c:pt>
                <c:pt idx="11">
                  <c:v>17.100000000000001</c:v>
                </c:pt>
                <c:pt idx="12">
                  <c:v>17.100000000000001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16.899999999999999</c:v>
                </c:pt>
                <c:pt idx="23">
                  <c:v>16.899999999999999</c:v>
                </c:pt>
                <c:pt idx="24">
                  <c:v>16.899999999999999</c:v>
                </c:pt>
                <c:pt idx="25">
                  <c:v>16.899999999999999</c:v>
                </c:pt>
                <c:pt idx="26">
                  <c:v>16.899999999999999</c:v>
                </c:pt>
                <c:pt idx="27">
                  <c:v>16.899999999999999</c:v>
                </c:pt>
                <c:pt idx="28">
                  <c:v>16.899999999999999</c:v>
                </c:pt>
                <c:pt idx="29">
                  <c:v>16.899999999999999</c:v>
                </c:pt>
                <c:pt idx="30">
                  <c:v>16.899999999999999</c:v>
                </c:pt>
                <c:pt idx="31">
                  <c:v>16.899999999999999</c:v>
                </c:pt>
                <c:pt idx="32">
                  <c:v>16.899999999999999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16.899999999999999</c:v>
                </c:pt>
                <c:pt idx="38">
                  <c:v>16.899999999999999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16.899999999999999</c:v>
                </c:pt>
                <c:pt idx="42">
                  <c:v>16.899999999999999</c:v>
                </c:pt>
                <c:pt idx="43">
                  <c:v>16.899999999999999</c:v>
                </c:pt>
                <c:pt idx="44">
                  <c:v>16.899999999999999</c:v>
                </c:pt>
                <c:pt idx="45">
                  <c:v>16.899999999999999</c:v>
                </c:pt>
                <c:pt idx="46">
                  <c:v>16.899999999999999</c:v>
                </c:pt>
                <c:pt idx="47">
                  <c:v>17</c:v>
                </c:pt>
                <c:pt idx="48">
                  <c:v>17.100000000000001</c:v>
                </c:pt>
                <c:pt idx="49">
                  <c:v>17.2</c:v>
                </c:pt>
                <c:pt idx="50">
                  <c:v>17.3</c:v>
                </c:pt>
                <c:pt idx="51">
                  <c:v>17.399999999999999</c:v>
                </c:pt>
                <c:pt idx="52">
                  <c:v>17.399999999999999</c:v>
                </c:pt>
                <c:pt idx="53">
                  <c:v>17.399999999999999</c:v>
                </c:pt>
                <c:pt idx="54">
                  <c:v>17.5</c:v>
                </c:pt>
                <c:pt idx="55">
                  <c:v>17.600000000000001</c:v>
                </c:pt>
                <c:pt idx="56">
                  <c:v>17.399999999999999</c:v>
                </c:pt>
                <c:pt idx="57">
                  <c:v>17.600000000000001</c:v>
                </c:pt>
                <c:pt idx="58">
                  <c:v>17.5</c:v>
                </c:pt>
                <c:pt idx="59">
                  <c:v>17.3</c:v>
                </c:pt>
                <c:pt idx="60">
                  <c:v>17.3</c:v>
                </c:pt>
                <c:pt idx="61">
                  <c:v>17.3</c:v>
                </c:pt>
                <c:pt idx="62">
                  <c:v>17.3</c:v>
                </c:pt>
                <c:pt idx="63">
                  <c:v>17.399999999999999</c:v>
                </c:pt>
                <c:pt idx="64">
                  <c:v>17.399999999999999</c:v>
                </c:pt>
                <c:pt idx="65">
                  <c:v>17.3</c:v>
                </c:pt>
                <c:pt idx="66">
                  <c:v>17.5</c:v>
                </c:pt>
                <c:pt idx="67">
                  <c:v>17.8</c:v>
                </c:pt>
                <c:pt idx="68">
                  <c:v>17.7</c:v>
                </c:pt>
                <c:pt idx="69">
                  <c:v>17.5</c:v>
                </c:pt>
                <c:pt idx="70">
                  <c:v>17.399999999999999</c:v>
                </c:pt>
                <c:pt idx="71">
                  <c:v>17.3</c:v>
                </c:pt>
                <c:pt idx="72">
                  <c:v>17.3</c:v>
                </c:pt>
                <c:pt idx="73">
                  <c:v>17.3</c:v>
                </c:pt>
                <c:pt idx="74">
                  <c:v>17.3</c:v>
                </c:pt>
                <c:pt idx="75">
                  <c:v>17.2</c:v>
                </c:pt>
                <c:pt idx="76">
                  <c:v>17.2</c:v>
                </c:pt>
                <c:pt idx="77">
                  <c:v>17.2</c:v>
                </c:pt>
                <c:pt idx="78">
                  <c:v>17.2</c:v>
                </c:pt>
                <c:pt idx="79">
                  <c:v>17.2</c:v>
                </c:pt>
                <c:pt idx="80">
                  <c:v>17.2</c:v>
                </c:pt>
                <c:pt idx="81">
                  <c:v>17.2</c:v>
                </c:pt>
                <c:pt idx="82">
                  <c:v>17.2</c:v>
                </c:pt>
                <c:pt idx="83">
                  <c:v>17.2</c:v>
                </c:pt>
                <c:pt idx="84">
                  <c:v>17.2</c:v>
                </c:pt>
                <c:pt idx="85">
                  <c:v>17.2</c:v>
                </c:pt>
                <c:pt idx="86">
                  <c:v>17.2</c:v>
                </c:pt>
                <c:pt idx="87">
                  <c:v>17.5</c:v>
                </c:pt>
                <c:pt idx="88">
                  <c:v>18.3</c:v>
                </c:pt>
                <c:pt idx="89">
                  <c:v>18.100000000000001</c:v>
                </c:pt>
                <c:pt idx="90">
                  <c:v>17.7</c:v>
                </c:pt>
                <c:pt idx="91">
                  <c:v>17.5</c:v>
                </c:pt>
                <c:pt idx="92">
                  <c:v>17.399999999999999</c:v>
                </c:pt>
                <c:pt idx="93">
                  <c:v>17.3</c:v>
                </c:pt>
                <c:pt idx="94">
                  <c:v>17.3</c:v>
                </c:pt>
                <c:pt idx="95">
                  <c:v>17.5</c:v>
                </c:pt>
                <c:pt idx="96">
                  <c:v>17.5</c:v>
                </c:pt>
                <c:pt idx="97">
                  <c:v>17.399999999999999</c:v>
                </c:pt>
                <c:pt idx="98">
                  <c:v>17.3</c:v>
                </c:pt>
                <c:pt idx="99">
                  <c:v>17.3</c:v>
                </c:pt>
                <c:pt idx="100">
                  <c:v>17.2</c:v>
                </c:pt>
                <c:pt idx="101">
                  <c:v>17.2</c:v>
                </c:pt>
                <c:pt idx="102">
                  <c:v>12.6</c:v>
                </c:pt>
                <c:pt idx="103">
                  <c:v>8.8000000000000007</c:v>
                </c:pt>
                <c:pt idx="104">
                  <c:v>6</c:v>
                </c:pt>
                <c:pt idx="105">
                  <c:v>5.4</c:v>
                </c:pt>
                <c:pt idx="106">
                  <c:v>5.8</c:v>
                </c:pt>
                <c:pt idx="107">
                  <c:v>6.5</c:v>
                </c:pt>
                <c:pt idx="108">
                  <c:v>7.2</c:v>
                </c:pt>
                <c:pt idx="109">
                  <c:v>8.3000000000000007</c:v>
                </c:pt>
                <c:pt idx="110">
                  <c:v>8.6</c:v>
                </c:pt>
                <c:pt idx="111">
                  <c:v>8.9</c:v>
                </c:pt>
                <c:pt idx="112">
                  <c:v>9.4</c:v>
                </c:pt>
                <c:pt idx="113">
                  <c:v>10</c:v>
                </c:pt>
                <c:pt idx="114">
                  <c:v>10.5</c:v>
                </c:pt>
                <c:pt idx="115">
                  <c:v>11</c:v>
                </c:pt>
                <c:pt idx="116">
                  <c:v>11.5</c:v>
                </c:pt>
                <c:pt idx="117">
                  <c:v>11.9</c:v>
                </c:pt>
                <c:pt idx="118">
                  <c:v>12.5</c:v>
                </c:pt>
                <c:pt idx="119">
                  <c:v>12.7</c:v>
                </c:pt>
                <c:pt idx="120">
                  <c:v>13</c:v>
                </c:pt>
                <c:pt idx="121">
                  <c:v>14.4</c:v>
                </c:pt>
                <c:pt idx="122">
                  <c:v>15.3</c:v>
                </c:pt>
                <c:pt idx="123">
                  <c:v>15.5</c:v>
                </c:pt>
                <c:pt idx="124">
                  <c:v>15.7</c:v>
                </c:pt>
                <c:pt idx="125">
                  <c:v>15.8</c:v>
                </c:pt>
                <c:pt idx="126">
                  <c:v>15.9</c:v>
                </c:pt>
                <c:pt idx="127">
                  <c:v>15.9</c:v>
                </c:pt>
                <c:pt idx="128">
                  <c:v>16</c:v>
                </c:pt>
                <c:pt idx="129">
                  <c:v>16</c:v>
                </c:pt>
                <c:pt idx="130">
                  <c:v>16.100000000000001</c:v>
                </c:pt>
                <c:pt idx="131">
                  <c:v>16.100000000000001</c:v>
                </c:pt>
                <c:pt idx="132">
                  <c:v>16.2</c:v>
                </c:pt>
                <c:pt idx="133">
                  <c:v>16.2</c:v>
                </c:pt>
                <c:pt idx="134">
                  <c:v>16.3</c:v>
                </c:pt>
                <c:pt idx="135">
                  <c:v>16.3</c:v>
                </c:pt>
                <c:pt idx="136">
                  <c:v>16.3</c:v>
                </c:pt>
                <c:pt idx="137">
                  <c:v>16.399999999999999</c:v>
                </c:pt>
                <c:pt idx="138">
                  <c:v>16.399999999999999</c:v>
                </c:pt>
                <c:pt idx="139">
                  <c:v>16.5</c:v>
                </c:pt>
                <c:pt idx="140">
                  <c:v>16.5</c:v>
                </c:pt>
                <c:pt idx="141">
                  <c:v>16.5</c:v>
                </c:pt>
                <c:pt idx="142">
                  <c:v>16.5</c:v>
                </c:pt>
                <c:pt idx="143">
                  <c:v>16.600000000000001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16.600000000000001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16.600000000000001</c:v>
                </c:pt>
                <c:pt idx="150">
                  <c:v>16.7</c:v>
                </c:pt>
                <c:pt idx="151">
                  <c:v>16.7</c:v>
                </c:pt>
                <c:pt idx="152">
                  <c:v>16.8</c:v>
                </c:pt>
                <c:pt idx="153">
                  <c:v>16.8</c:v>
                </c:pt>
                <c:pt idx="154">
                  <c:v>16.8</c:v>
                </c:pt>
                <c:pt idx="155">
                  <c:v>17.100000000000001</c:v>
                </c:pt>
                <c:pt idx="156">
                  <c:v>17.100000000000001</c:v>
                </c:pt>
                <c:pt idx="157">
                  <c:v>16.899999999999999</c:v>
                </c:pt>
                <c:pt idx="158">
                  <c:v>17</c:v>
                </c:pt>
                <c:pt idx="159">
                  <c:v>16.899999999999999</c:v>
                </c:pt>
                <c:pt idx="160">
                  <c:v>16.8</c:v>
                </c:pt>
                <c:pt idx="161">
                  <c:v>16.7</c:v>
                </c:pt>
                <c:pt idx="162">
                  <c:v>16.7</c:v>
                </c:pt>
                <c:pt idx="163">
                  <c:v>16.7</c:v>
                </c:pt>
                <c:pt idx="164">
                  <c:v>16.7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16.600000000000001</c:v>
                </c:pt>
                <c:pt idx="169">
                  <c:v>16.600000000000001</c:v>
                </c:pt>
                <c:pt idx="170">
                  <c:v>16.600000000000001</c:v>
                </c:pt>
                <c:pt idx="171">
                  <c:v>16.600000000000001</c:v>
                </c:pt>
                <c:pt idx="172">
                  <c:v>16.600000000000001</c:v>
                </c:pt>
                <c:pt idx="173">
                  <c:v>16.600000000000001</c:v>
                </c:pt>
                <c:pt idx="174">
                  <c:v>16.600000000000001</c:v>
                </c:pt>
                <c:pt idx="175">
                  <c:v>16.600000000000001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16.600000000000001</c:v>
                </c:pt>
                <c:pt idx="179">
                  <c:v>16.600000000000001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16.600000000000001</c:v>
                </c:pt>
                <c:pt idx="183">
                  <c:v>16.7</c:v>
                </c:pt>
                <c:pt idx="184">
                  <c:v>16.600000000000001</c:v>
                </c:pt>
                <c:pt idx="185">
                  <c:v>16.7</c:v>
                </c:pt>
                <c:pt idx="186">
                  <c:v>16.7</c:v>
                </c:pt>
                <c:pt idx="187">
                  <c:v>16.7</c:v>
                </c:pt>
                <c:pt idx="188">
                  <c:v>16.7</c:v>
                </c:pt>
                <c:pt idx="189">
                  <c:v>16.7</c:v>
                </c:pt>
                <c:pt idx="190">
                  <c:v>16.7</c:v>
                </c:pt>
                <c:pt idx="191">
                  <c:v>16.7</c:v>
                </c:pt>
                <c:pt idx="192">
                  <c:v>16.7</c:v>
                </c:pt>
                <c:pt idx="193">
                  <c:v>16.8</c:v>
                </c:pt>
                <c:pt idx="194">
                  <c:v>16.8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</c:v>
                </c:pt>
                <c:pt idx="202">
                  <c:v>16.8</c:v>
                </c:pt>
                <c:pt idx="203">
                  <c:v>16.8</c:v>
                </c:pt>
                <c:pt idx="204">
                  <c:v>16.8</c:v>
                </c:pt>
                <c:pt idx="205">
                  <c:v>16.8</c:v>
                </c:pt>
                <c:pt idx="206">
                  <c:v>16.8</c:v>
                </c:pt>
              </c:numCache>
            </c:numRef>
          </c:yVal>
          <c:smooth val="1"/>
        </c:ser>
        <c:axId val="74424704"/>
        <c:axId val="74502912"/>
      </c:scatterChart>
      <c:scatterChart>
        <c:scatterStyle val="smoothMarker"/>
        <c:ser>
          <c:idx val="3"/>
          <c:order val="3"/>
          <c:tx>
            <c:strRef>
              <c:f>Tabelle1!$F$1</c:f>
              <c:strCache>
                <c:ptCount val="1"/>
                <c:pt idx="0">
                  <c:v>Hum 1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Tabelle1!$F$2:$F$208</c:f>
              <c:numCache>
                <c:formatCode>0.0%</c:formatCode>
                <c:ptCount val="207"/>
                <c:pt idx="0">
                  <c:v>0.746</c:v>
                </c:pt>
                <c:pt idx="1">
                  <c:v>0.746</c:v>
                </c:pt>
                <c:pt idx="2">
                  <c:v>0.748</c:v>
                </c:pt>
                <c:pt idx="3">
                  <c:v>0.749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0.751</c:v>
                </c:pt>
                <c:pt idx="8">
                  <c:v>0.75</c:v>
                </c:pt>
                <c:pt idx="9">
                  <c:v>0.751</c:v>
                </c:pt>
                <c:pt idx="10">
                  <c:v>0.751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0.749</c:v>
                </c:pt>
                <c:pt idx="16">
                  <c:v>0.748</c:v>
                </c:pt>
                <c:pt idx="17">
                  <c:v>0.748</c:v>
                </c:pt>
                <c:pt idx="18">
                  <c:v>0.748</c:v>
                </c:pt>
                <c:pt idx="19">
                  <c:v>0.748</c:v>
                </c:pt>
                <c:pt idx="20">
                  <c:v>0.747</c:v>
                </c:pt>
                <c:pt idx="21">
                  <c:v>0.747</c:v>
                </c:pt>
                <c:pt idx="22">
                  <c:v>0.747</c:v>
                </c:pt>
                <c:pt idx="23">
                  <c:v>0.747</c:v>
                </c:pt>
                <c:pt idx="24">
                  <c:v>0.747</c:v>
                </c:pt>
                <c:pt idx="25">
                  <c:v>0.746</c:v>
                </c:pt>
                <c:pt idx="26">
                  <c:v>0.747</c:v>
                </c:pt>
                <c:pt idx="27">
                  <c:v>0.747</c:v>
                </c:pt>
                <c:pt idx="28">
                  <c:v>0.747</c:v>
                </c:pt>
                <c:pt idx="29">
                  <c:v>0.746</c:v>
                </c:pt>
                <c:pt idx="30">
                  <c:v>0.746</c:v>
                </c:pt>
                <c:pt idx="31">
                  <c:v>0.746</c:v>
                </c:pt>
                <c:pt idx="32">
                  <c:v>0.746</c:v>
                </c:pt>
                <c:pt idx="33">
                  <c:v>0.746</c:v>
                </c:pt>
                <c:pt idx="34">
                  <c:v>0.746</c:v>
                </c:pt>
                <c:pt idx="35">
                  <c:v>0.746</c:v>
                </c:pt>
                <c:pt idx="36">
                  <c:v>0.746</c:v>
                </c:pt>
                <c:pt idx="37">
                  <c:v>0.746</c:v>
                </c:pt>
                <c:pt idx="38">
                  <c:v>0.74399999999999999</c:v>
                </c:pt>
                <c:pt idx="39">
                  <c:v>0.745</c:v>
                </c:pt>
                <c:pt idx="40">
                  <c:v>0.747</c:v>
                </c:pt>
                <c:pt idx="41">
                  <c:v>0.751</c:v>
                </c:pt>
                <c:pt idx="42">
                  <c:v>0.75900000000000001</c:v>
                </c:pt>
                <c:pt idx="43">
                  <c:v>0.76500000000000001</c:v>
                </c:pt>
                <c:pt idx="44">
                  <c:v>0.76600000000000001</c:v>
                </c:pt>
                <c:pt idx="45">
                  <c:v>0.76500000000000001</c:v>
                </c:pt>
                <c:pt idx="46">
                  <c:v>0.76300000000000001</c:v>
                </c:pt>
                <c:pt idx="47">
                  <c:v>0.77500000000000002</c:v>
                </c:pt>
                <c:pt idx="48">
                  <c:v>0.77600000000000002</c:v>
                </c:pt>
                <c:pt idx="49">
                  <c:v>0.77</c:v>
                </c:pt>
                <c:pt idx="50">
                  <c:v>0.76200000000000001</c:v>
                </c:pt>
                <c:pt idx="51">
                  <c:v>0.75600000000000001</c:v>
                </c:pt>
                <c:pt idx="52">
                  <c:v>0.73799999999999999</c:v>
                </c:pt>
                <c:pt idx="53">
                  <c:v>0.71199999999999997</c:v>
                </c:pt>
                <c:pt idx="54">
                  <c:v>0.69299999999999995</c:v>
                </c:pt>
                <c:pt idx="55">
                  <c:v>0.68300000000000005</c:v>
                </c:pt>
                <c:pt idx="56">
                  <c:v>0.67700000000000005</c:v>
                </c:pt>
                <c:pt idx="57">
                  <c:v>0.67400000000000004</c:v>
                </c:pt>
                <c:pt idx="58">
                  <c:v>0.66400000000000003</c:v>
                </c:pt>
                <c:pt idx="59">
                  <c:v>0.66</c:v>
                </c:pt>
                <c:pt idx="60">
                  <c:v>0.66</c:v>
                </c:pt>
                <c:pt idx="61">
                  <c:v>0.65200000000000002</c:v>
                </c:pt>
                <c:pt idx="62">
                  <c:v>0.64500000000000002</c:v>
                </c:pt>
                <c:pt idx="63">
                  <c:v>0.64200000000000002</c:v>
                </c:pt>
                <c:pt idx="64">
                  <c:v>0.63600000000000001</c:v>
                </c:pt>
                <c:pt idx="65">
                  <c:v>0.627</c:v>
                </c:pt>
                <c:pt idx="66">
                  <c:v>0.61099999999999999</c:v>
                </c:pt>
                <c:pt idx="67">
                  <c:v>0.59899999999999998</c:v>
                </c:pt>
                <c:pt idx="68">
                  <c:v>0.60199999999999998</c:v>
                </c:pt>
                <c:pt idx="69">
                  <c:v>0.59299999999999997</c:v>
                </c:pt>
                <c:pt idx="70">
                  <c:v>0.59699999999999998</c:v>
                </c:pt>
                <c:pt idx="71">
                  <c:v>0.57799999999999996</c:v>
                </c:pt>
                <c:pt idx="72">
                  <c:v>0.56699999999999995</c:v>
                </c:pt>
                <c:pt idx="73">
                  <c:v>0.56599999999999995</c:v>
                </c:pt>
                <c:pt idx="74">
                  <c:v>0.55900000000000005</c:v>
                </c:pt>
                <c:pt idx="75">
                  <c:v>0.55100000000000005</c:v>
                </c:pt>
                <c:pt idx="76">
                  <c:v>0.55400000000000005</c:v>
                </c:pt>
                <c:pt idx="77">
                  <c:v>0.56000000000000005</c:v>
                </c:pt>
                <c:pt idx="78">
                  <c:v>0.56200000000000006</c:v>
                </c:pt>
                <c:pt idx="79">
                  <c:v>0.57099999999999995</c:v>
                </c:pt>
                <c:pt idx="80">
                  <c:v>0.58099999999999996</c:v>
                </c:pt>
                <c:pt idx="81">
                  <c:v>0.59899999999999998</c:v>
                </c:pt>
                <c:pt idx="82">
                  <c:v>0.61399999999999999</c:v>
                </c:pt>
                <c:pt idx="83">
                  <c:v>0.60499999999999998</c:v>
                </c:pt>
                <c:pt idx="84">
                  <c:v>0.60599999999999998</c:v>
                </c:pt>
                <c:pt idx="85">
                  <c:v>0.61699999999999999</c:v>
                </c:pt>
                <c:pt idx="86">
                  <c:v>0.61299999999999999</c:v>
                </c:pt>
                <c:pt idx="87">
                  <c:v>0.60899999999999999</c:v>
                </c:pt>
                <c:pt idx="88">
                  <c:v>0.84399999999999997</c:v>
                </c:pt>
                <c:pt idx="89">
                  <c:v>0.93700000000000006</c:v>
                </c:pt>
                <c:pt idx="90">
                  <c:v>0.86699999999999999</c:v>
                </c:pt>
                <c:pt idx="91">
                  <c:v>0.79500000000000004</c:v>
                </c:pt>
                <c:pt idx="92">
                  <c:v>0.749</c:v>
                </c:pt>
                <c:pt idx="93">
                  <c:v>0.72099999999999997</c:v>
                </c:pt>
                <c:pt idx="94">
                  <c:v>0.69799999999999995</c:v>
                </c:pt>
                <c:pt idx="95">
                  <c:v>0.67400000000000004</c:v>
                </c:pt>
                <c:pt idx="96">
                  <c:v>0.67700000000000005</c:v>
                </c:pt>
                <c:pt idx="97">
                  <c:v>0.68300000000000005</c:v>
                </c:pt>
                <c:pt idx="98">
                  <c:v>0.68899999999999995</c:v>
                </c:pt>
                <c:pt idx="99">
                  <c:v>0.69799999999999995</c:v>
                </c:pt>
                <c:pt idx="100">
                  <c:v>0.70499999999999996</c:v>
                </c:pt>
                <c:pt idx="101">
                  <c:v>0.70499999999999996</c:v>
                </c:pt>
                <c:pt idx="102">
                  <c:v>0.63</c:v>
                </c:pt>
                <c:pt idx="103">
                  <c:v>0.68400000000000005</c:v>
                </c:pt>
                <c:pt idx="104">
                  <c:v>0.77500000000000002</c:v>
                </c:pt>
                <c:pt idx="105">
                  <c:v>0.82499999999999996</c:v>
                </c:pt>
                <c:pt idx="106">
                  <c:v>0.85199999999999998</c:v>
                </c:pt>
                <c:pt idx="107">
                  <c:v>0.86399999999999999</c:v>
                </c:pt>
                <c:pt idx="108">
                  <c:v>0.872</c:v>
                </c:pt>
                <c:pt idx="109">
                  <c:v>0.90200000000000002</c:v>
                </c:pt>
                <c:pt idx="110">
                  <c:v>0.91700000000000004</c:v>
                </c:pt>
                <c:pt idx="111">
                  <c:v>0.91800000000000004</c:v>
                </c:pt>
                <c:pt idx="112">
                  <c:v>0.91600000000000004</c:v>
                </c:pt>
                <c:pt idx="113">
                  <c:v>0.91400000000000003</c:v>
                </c:pt>
                <c:pt idx="114">
                  <c:v>0.91200000000000003</c:v>
                </c:pt>
                <c:pt idx="115">
                  <c:v>0.90800000000000003</c:v>
                </c:pt>
                <c:pt idx="116">
                  <c:v>0.90600000000000003</c:v>
                </c:pt>
                <c:pt idx="117">
                  <c:v>0.90300000000000002</c:v>
                </c:pt>
                <c:pt idx="118">
                  <c:v>0.86699999999999999</c:v>
                </c:pt>
                <c:pt idx="119">
                  <c:v>0.878</c:v>
                </c:pt>
                <c:pt idx="120">
                  <c:v>0.88300000000000001</c:v>
                </c:pt>
                <c:pt idx="121">
                  <c:v>0.86499999999999999</c:v>
                </c:pt>
                <c:pt idx="122">
                  <c:v>0.84499999999999997</c:v>
                </c:pt>
                <c:pt idx="123">
                  <c:v>0.83699999999999997</c:v>
                </c:pt>
                <c:pt idx="124">
                  <c:v>0.83299999999999996</c:v>
                </c:pt>
                <c:pt idx="125">
                  <c:v>0.83199999999999996</c:v>
                </c:pt>
                <c:pt idx="126">
                  <c:v>0.83099999999999996</c:v>
                </c:pt>
                <c:pt idx="127">
                  <c:v>0.83</c:v>
                </c:pt>
                <c:pt idx="128">
                  <c:v>0.82799999999999996</c:v>
                </c:pt>
                <c:pt idx="129">
                  <c:v>0.82599999999999996</c:v>
                </c:pt>
                <c:pt idx="130">
                  <c:v>0.82499999999999996</c:v>
                </c:pt>
                <c:pt idx="131">
                  <c:v>0.82399999999999995</c:v>
                </c:pt>
                <c:pt idx="132">
                  <c:v>0.82099999999999995</c:v>
                </c:pt>
                <c:pt idx="133">
                  <c:v>0.82</c:v>
                </c:pt>
                <c:pt idx="134">
                  <c:v>0.81799999999999995</c:v>
                </c:pt>
                <c:pt idx="135">
                  <c:v>0.81599999999999995</c:v>
                </c:pt>
                <c:pt idx="136">
                  <c:v>0.81499999999999995</c:v>
                </c:pt>
                <c:pt idx="137">
                  <c:v>0.81299999999999994</c:v>
                </c:pt>
                <c:pt idx="138">
                  <c:v>0.81</c:v>
                </c:pt>
                <c:pt idx="139">
                  <c:v>0.80600000000000005</c:v>
                </c:pt>
                <c:pt idx="140">
                  <c:v>0.80600000000000005</c:v>
                </c:pt>
                <c:pt idx="141">
                  <c:v>0.80400000000000005</c:v>
                </c:pt>
                <c:pt idx="142">
                  <c:v>0.80100000000000005</c:v>
                </c:pt>
                <c:pt idx="143">
                  <c:v>0.8</c:v>
                </c:pt>
                <c:pt idx="144">
                  <c:v>0.79800000000000004</c:v>
                </c:pt>
                <c:pt idx="145">
                  <c:v>0.79900000000000004</c:v>
                </c:pt>
                <c:pt idx="146">
                  <c:v>0.79600000000000004</c:v>
                </c:pt>
                <c:pt idx="147">
                  <c:v>0.79600000000000004</c:v>
                </c:pt>
                <c:pt idx="148">
                  <c:v>0.79500000000000004</c:v>
                </c:pt>
                <c:pt idx="149">
                  <c:v>0.79200000000000004</c:v>
                </c:pt>
                <c:pt idx="150">
                  <c:v>0.79300000000000004</c:v>
                </c:pt>
                <c:pt idx="151">
                  <c:v>0.79200000000000004</c:v>
                </c:pt>
                <c:pt idx="152">
                  <c:v>0.79400000000000004</c:v>
                </c:pt>
                <c:pt idx="153">
                  <c:v>0.79300000000000004</c:v>
                </c:pt>
                <c:pt idx="154">
                  <c:v>0.79200000000000004</c:v>
                </c:pt>
                <c:pt idx="155">
                  <c:v>0.77600000000000002</c:v>
                </c:pt>
                <c:pt idx="156">
                  <c:v>0.79500000000000004</c:v>
                </c:pt>
                <c:pt idx="157">
                  <c:v>0.82299999999999995</c:v>
                </c:pt>
                <c:pt idx="158">
                  <c:v>0.82699999999999996</c:v>
                </c:pt>
                <c:pt idx="159">
                  <c:v>0.80300000000000005</c:v>
                </c:pt>
                <c:pt idx="160">
                  <c:v>0.78900000000000003</c:v>
                </c:pt>
                <c:pt idx="161">
                  <c:v>0.78400000000000003</c:v>
                </c:pt>
                <c:pt idx="162">
                  <c:v>0.77500000000000002</c:v>
                </c:pt>
                <c:pt idx="163">
                  <c:v>0.76800000000000002</c:v>
                </c:pt>
                <c:pt idx="164">
                  <c:v>0.76200000000000001</c:v>
                </c:pt>
                <c:pt idx="165">
                  <c:v>0.755</c:v>
                </c:pt>
                <c:pt idx="166">
                  <c:v>0.749</c:v>
                </c:pt>
                <c:pt idx="167">
                  <c:v>0.74199999999999999</c:v>
                </c:pt>
                <c:pt idx="168">
                  <c:v>0.73499999999999999</c:v>
                </c:pt>
                <c:pt idx="169">
                  <c:v>0.72799999999999998</c:v>
                </c:pt>
                <c:pt idx="170">
                  <c:v>0.71899999999999997</c:v>
                </c:pt>
                <c:pt idx="171">
                  <c:v>0.70799999999999996</c:v>
                </c:pt>
                <c:pt idx="172">
                  <c:v>0.69799999999999995</c:v>
                </c:pt>
                <c:pt idx="173">
                  <c:v>0.69099999999999995</c:v>
                </c:pt>
                <c:pt idx="174">
                  <c:v>0.68600000000000005</c:v>
                </c:pt>
                <c:pt idx="175">
                  <c:v>0.68400000000000005</c:v>
                </c:pt>
                <c:pt idx="176">
                  <c:v>0.68500000000000005</c:v>
                </c:pt>
                <c:pt idx="177">
                  <c:v>0.67800000000000005</c:v>
                </c:pt>
                <c:pt idx="178">
                  <c:v>0.67600000000000005</c:v>
                </c:pt>
                <c:pt idx="179">
                  <c:v>0.66800000000000004</c:v>
                </c:pt>
                <c:pt idx="180">
                  <c:v>0.66200000000000003</c:v>
                </c:pt>
                <c:pt idx="181">
                  <c:v>0.65200000000000002</c:v>
                </c:pt>
                <c:pt idx="182">
                  <c:v>0.64</c:v>
                </c:pt>
                <c:pt idx="183">
                  <c:v>0.64400000000000002</c:v>
                </c:pt>
                <c:pt idx="184">
                  <c:v>0.63300000000000001</c:v>
                </c:pt>
                <c:pt idx="185">
                  <c:v>0.63600000000000001</c:v>
                </c:pt>
                <c:pt idx="186">
                  <c:v>0.63500000000000001</c:v>
                </c:pt>
                <c:pt idx="187">
                  <c:v>0.627</c:v>
                </c:pt>
                <c:pt idx="188">
                  <c:v>0.61899999999999999</c:v>
                </c:pt>
                <c:pt idx="189">
                  <c:v>0.61199999999999999</c:v>
                </c:pt>
                <c:pt idx="190">
                  <c:v>0.61499999999999999</c:v>
                </c:pt>
                <c:pt idx="191">
                  <c:v>0.63100000000000001</c:v>
                </c:pt>
                <c:pt idx="192">
                  <c:v>0.63100000000000001</c:v>
                </c:pt>
                <c:pt idx="193">
                  <c:v>0.625</c:v>
                </c:pt>
                <c:pt idx="194">
                  <c:v>0.63</c:v>
                </c:pt>
                <c:pt idx="195">
                  <c:v>0.621</c:v>
                </c:pt>
                <c:pt idx="196">
                  <c:v>0.624</c:v>
                </c:pt>
                <c:pt idx="197">
                  <c:v>0.626</c:v>
                </c:pt>
                <c:pt idx="198">
                  <c:v>0.629</c:v>
                </c:pt>
                <c:pt idx="199">
                  <c:v>0.64900000000000002</c:v>
                </c:pt>
                <c:pt idx="200">
                  <c:v>0.69</c:v>
                </c:pt>
                <c:pt idx="201">
                  <c:v>0.70899999999999996</c:v>
                </c:pt>
                <c:pt idx="202">
                  <c:v>0.71399999999999997</c:v>
                </c:pt>
                <c:pt idx="203">
                  <c:v>0.71599999999999997</c:v>
                </c:pt>
                <c:pt idx="204">
                  <c:v>0.71699999999999997</c:v>
                </c:pt>
                <c:pt idx="205">
                  <c:v>0.71499999999999997</c:v>
                </c:pt>
                <c:pt idx="206">
                  <c:v>0.71699999999999997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Tabelle1!$G$1</c:f>
              <c:strCache>
                <c:ptCount val="1"/>
                <c:pt idx="0">
                  <c:v>Hum 2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Tabelle1!$G$2:$G$208</c:f>
              <c:numCache>
                <c:formatCode>0.0%</c:formatCode>
                <c:ptCount val="207"/>
                <c:pt idx="0">
                  <c:v>0.72499999999999998</c:v>
                </c:pt>
                <c:pt idx="1">
                  <c:v>0.72699999999999998</c:v>
                </c:pt>
                <c:pt idx="2">
                  <c:v>0.73199999999999998</c:v>
                </c:pt>
                <c:pt idx="3">
                  <c:v>0.73299999999999998</c:v>
                </c:pt>
                <c:pt idx="4">
                  <c:v>0.73399999999999999</c:v>
                </c:pt>
                <c:pt idx="5">
                  <c:v>0.73499999999999999</c:v>
                </c:pt>
                <c:pt idx="6">
                  <c:v>0.73499999999999999</c:v>
                </c:pt>
                <c:pt idx="7">
                  <c:v>0.73599999999999999</c:v>
                </c:pt>
                <c:pt idx="8">
                  <c:v>0.73599999999999999</c:v>
                </c:pt>
                <c:pt idx="9">
                  <c:v>0.73599999999999999</c:v>
                </c:pt>
                <c:pt idx="10">
                  <c:v>0.73599999999999999</c:v>
                </c:pt>
                <c:pt idx="11">
                  <c:v>0.73599999999999999</c:v>
                </c:pt>
                <c:pt idx="12">
                  <c:v>0.73599999999999999</c:v>
                </c:pt>
                <c:pt idx="13">
                  <c:v>0.73599999999999999</c:v>
                </c:pt>
                <c:pt idx="14">
                  <c:v>0.73599999999999999</c:v>
                </c:pt>
                <c:pt idx="15">
                  <c:v>0.73599999999999999</c:v>
                </c:pt>
                <c:pt idx="16">
                  <c:v>0.73499999999999999</c:v>
                </c:pt>
                <c:pt idx="17">
                  <c:v>0.73399999999999999</c:v>
                </c:pt>
                <c:pt idx="18">
                  <c:v>0.73399999999999999</c:v>
                </c:pt>
                <c:pt idx="19">
                  <c:v>0.73299999999999998</c:v>
                </c:pt>
                <c:pt idx="20">
                  <c:v>0.73299999999999998</c:v>
                </c:pt>
                <c:pt idx="21">
                  <c:v>0.73299999999999998</c:v>
                </c:pt>
                <c:pt idx="22">
                  <c:v>0.73299999999999998</c:v>
                </c:pt>
                <c:pt idx="23">
                  <c:v>0.73299999999999998</c:v>
                </c:pt>
                <c:pt idx="24">
                  <c:v>0.73299999999999998</c:v>
                </c:pt>
                <c:pt idx="25">
                  <c:v>0.73299999999999998</c:v>
                </c:pt>
                <c:pt idx="26">
                  <c:v>0.73399999999999999</c:v>
                </c:pt>
                <c:pt idx="27">
                  <c:v>0.73299999999999998</c:v>
                </c:pt>
                <c:pt idx="28">
                  <c:v>0.73299999999999998</c:v>
                </c:pt>
                <c:pt idx="29">
                  <c:v>0.73199999999999998</c:v>
                </c:pt>
                <c:pt idx="30">
                  <c:v>0.73199999999999998</c:v>
                </c:pt>
                <c:pt idx="31">
                  <c:v>0.73199999999999998</c:v>
                </c:pt>
                <c:pt idx="32">
                  <c:v>0.73099999999999998</c:v>
                </c:pt>
                <c:pt idx="33">
                  <c:v>0.73099999999999998</c:v>
                </c:pt>
                <c:pt idx="34">
                  <c:v>0.73099999999999998</c:v>
                </c:pt>
                <c:pt idx="35">
                  <c:v>0.73099999999999998</c:v>
                </c:pt>
                <c:pt idx="36">
                  <c:v>0.73099999999999998</c:v>
                </c:pt>
                <c:pt idx="37">
                  <c:v>0.73099999999999998</c:v>
                </c:pt>
                <c:pt idx="38">
                  <c:v>0.73</c:v>
                </c:pt>
                <c:pt idx="39">
                  <c:v>0.73199999999999998</c:v>
                </c:pt>
                <c:pt idx="40">
                  <c:v>0.73299999999999998</c:v>
                </c:pt>
                <c:pt idx="41">
                  <c:v>0.73799999999999999</c:v>
                </c:pt>
                <c:pt idx="42">
                  <c:v>0.746</c:v>
                </c:pt>
                <c:pt idx="43">
                  <c:v>0.752</c:v>
                </c:pt>
                <c:pt idx="44">
                  <c:v>0.752</c:v>
                </c:pt>
                <c:pt idx="45">
                  <c:v>0.75</c:v>
                </c:pt>
                <c:pt idx="46">
                  <c:v>0.749</c:v>
                </c:pt>
                <c:pt idx="47">
                  <c:v>0.75800000000000001</c:v>
                </c:pt>
                <c:pt idx="48">
                  <c:v>0.76300000000000001</c:v>
                </c:pt>
                <c:pt idx="49">
                  <c:v>0.75600000000000001</c:v>
                </c:pt>
                <c:pt idx="50">
                  <c:v>0.746</c:v>
                </c:pt>
                <c:pt idx="51">
                  <c:v>0.74099999999999999</c:v>
                </c:pt>
                <c:pt idx="52">
                  <c:v>0.72199999999999998</c:v>
                </c:pt>
                <c:pt idx="53">
                  <c:v>0.69699999999999995</c:v>
                </c:pt>
                <c:pt idx="54">
                  <c:v>0.66</c:v>
                </c:pt>
                <c:pt idx="55">
                  <c:v>0.65500000000000003</c:v>
                </c:pt>
                <c:pt idx="56">
                  <c:v>0.65500000000000003</c:v>
                </c:pt>
                <c:pt idx="57">
                  <c:v>0.65200000000000002</c:v>
                </c:pt>
                <c:pt idx="58">
                  <c:v>0.64600000000000002</c:v>
                </c:pt>
                <c:pt idx="59">
                  <c:v>0.64200000000000002</c:v>
                </c:pt>
                <c:pt idx="60">
                  <c:v>0.64400000000000002</c:v>
                </c:pt>
                <c:pt idx="61">
                  <c:v>0.63500000000000001</c:v>
                </c:pt>
                <c:pt idx="62">
                  <c:v>0.628</c:v>
                </c:pt>
                <c:pt idx="63">
                  <c:v>0.625</c:v>
                </c:pt>
                <c:pt idx="64">
                  <c:v>0.61899999999999999</c:v>
                </c:pt>
                <c:pt idx="65">
                  <c:v>0.61099999999999999</c:v>
                </c:pt>
                <c:pt idx="66">
                  <c:v>0.60299999999999998</c:v>
                </c:pt>
                <c:pt idx="67">
                  <c:v>0.59699999999999998</c:v>
                </c:pt>
                <c:pt idx="68">
                  <c:v>0.59099999999999997</c:v>
                </c:pt>
                <c:pt idx="69">
                  <c:v>0.58099999999999996</c:v>
                </c:pt>
                <c:pt idx="70">
                  <c:v>0.58499999999999996</c:v>
                </c:pt>
                <c:pt idx="71">
                  <c:v>0.56599999999999995</c:v>
                </c:pt>
                <c:pt idx="72">
                  <c:v>0.55400000000000005</c:v>
                </c:pt>
                <c:pt idx="73">
                  <c:v>0.55400000000000005</c:v>
                </c:pt>
                <c:pt idx="74">
                  <c:v>0.54700000000000004</c:v>
                </c:pt>
                <c:pt idx="75">
                  <c:v>0.53900000000000003</c:v>
                </c:pt>
                <c:pt idx="76">
                  <c:v>0.54100000000000004</c:v>
                </c:pt>
                <c:pt idx="77">
                  <c:v>0.54800000000000004</c:v>
                </c:pt>
                <c:pt idx="78">
                  <c:v>0.54900000000000004</c:v>
                </c:pt>
                <c:pt idx="79">
                  <c:v>0.55900000000000005</c:v>
                </c:pt>
                <c:pt idx="80">
                  <c:v>0.56999999999999995</c:v>
                </c:pt>
                <c:pt idx="81">
                  <c:v>0.58599999999999997</c:v>
                </c:pt>
                <c:pt idx="82">
                  <c:v>0.6</c:v>
                </c:pt>
                <c:pt idx="83">
                  <c:v>0.59099999999999997</c:v>
                </c:pt>
                <c:pt idx="84">
                  <c:v>0.59399999999999997</c:v>
                </c:pt>
                <c:pt idx="85">
                  <c:v>0.60399999999999998</c:v>
                </c:pt>
                <c:pt idx="86">
                  <c:v>0.58699999999999997</c:v>
                </c:pt>
                <c:pt idx="87">
                  <c:v>0.57799999999999996</c:v>
                </c:pt>
                <c:pt idx="88">
                  <c:v>0.83499999999999996</c:v>
                </c:pt>
                <c:pt idx="89">
                  <c:v>0.94099999999999995</c:v>
                </c:pt>
                <c:pt idx="90">
                  <c:v>0.86699999999999999</c:v>
                </c:pt>
                <c:pt idx="91">
                  <c:v>0.79300000000000004</c:v>
                </c:pt>
                <c:pt idx="92">
                  <c:v>0.747</c:v>
                </c:pt>
                <c:pt idx="93">
                  <c:v>0.72</c:v>
                </c:pt>
                <c:pt idx="94">
                  <c:v>0.69699999999999995</c:v>
                </c:pt>
                <c:pt idx="95">
                  <c:v>0.67300000000000004</c:v>
                </c:pt>
                <c:pt idx="96">
                  <c:v>0.67700000000000005</c:v>
                </c:pt>
                <c:pt idx="97">
                  <c:v>0.68300000000000005</c:v>
                </c:pt>
                <c:pt idx="98">
                  <c:v>0.68899999999999995</c:v>
                </c:pt>
                <c:pt idx="99">
                  <c:v>0.69799999999999995</c:v>
                </c:pt>
                <c:pt idx="100">
                  <c:v>0.70599999999999996</c:v>
                </c:pt>
                <c:pt idx="101">
                  <c:v>0.70399999999999996</c:v>
                </c:pt>
                <c:pt idx="102">
                  <c:v>0.68600000000000005</c:v>
                </c:pt>
                <c:pt idx="103">
                  <c:v>0.73499999999999999</c:v>
                </c:pt>
                <c:pt idx="104">
                  <c:v>0.80600000000000005</c:v>
                </c:pt>
                <c:pt idx="105">
                  <c:v>0.85099999999999998</c:v>
                </c:pt>
                <c:pt idx="106">
                  <c:v>0.874</c:v>
                </c:pt>
                <c:pt idx="107">
                  <c:v>0.88400000000000001</c:v>
                </c:pt>
                <c:pt idx="108">
                  <c:v>0.88800000000000001</c:v>
                </c:pt>
                <c:pt idx="109">
                  <c:v>0.91300000000000003</c:v>
                </c:pt>
                <c:pt idx="110">
                  <c:v>0.91600000000000004</c:v>
                </c:pt>
                <c:pt idx="111">
                  <c:v>0.91300000000000003</c:v>
                </c:pt>
                <c:pt idx="112">
                  <c:v>0.91100000000000003</c:v>
                </c:pt>
                <c:pt idx="113">
                  <c:v>0.90800000000000003</c:v>
                </c:pt>
                <c:pt idx="114">
                  <c:v>0.90500000000000003</c:v>
                </c:pt>
                <c:pt idx="115">
                  <c:v>0.90200000000000002</c:v>
                </c:pt>
                <c:pt idx="116">
                  <c:v>0.89600000000000002</c:v>
                </c:pt>
                <c:pt idx="117">
                  <c:v>0.88900000000000001</c:v>
                </c:pt>
                <c:pt idx="118">
                  <c:v>0.85699999999999998</c:v>
                </c:pt>
                <c:pt idx="119">
                  <c:v>0.84699999999999998</c:v>
                </c:pt>
                <c:pt idx="120">
                  <c:v>0.84899999999999998</c:v>
                </c:pt>
                <c:pt idx="121">
                  <c:v>0.82499999999999996</c:v>
                </c:pt>
                <c:pt idx="122">
                  <c:v>0.80500000000000005</c:v>
                </c:pt>
                <c:pt idx="123">
                  <c:v>0.79900000000000004</c:v>
                </c:pt>
                <c:pt idx="124">
                  <c:v>0.79500000000000004</c:v>
                </c:pt>
                <c:pt idx="125">
                  <c:v>0.79400000000000004</c:v>
                </c:pt>
                <c:pt idx="126">
                  <c:v>0.79300000000000004</c:v>
                </c:pt>
                <c:pt idx="127">
                  <c:v>0.79300000000000004</c:v>
                </c:pt>
                <c:pt idx="128">
                  <c:v>0.79300000000000004</c:v>
                </c:pt>
                <c:pt idx="129">
                  <c:v>0.79200000000000004</c:v>
                </c:pt>
                <c:pt idx="130">
                  <c:v>0.79200000000000004</c:v>
                </c:pt>
                <c:pt idx="131">
                  <c:v>0.79100000000000004</c:v>
                </c:pt>
                <c:pt idx="132">
                  <c:v>0.79</c:v>
                </c:pt>
                <c:pt idx="133">
                  <c:v>0.79</c:v>
                </c:pt>
                <c:pt idx="134">
                  <c:v>0.78900000000000003</c:v>
                </c:pt>
                <c:pt idx="135">
                  <c:v>0.78900000000000003</c:v>
                </c:pt>
                <c:pt idx="136">
                  <c:v>0.78900000000000003</c:v>
                </c:pt>
                <c:pt idx="137">
                  <c:v>0.78300000000000003</c:v>
                </c:pt>
                <c:pt idx="138">
                  <c:v>0.77700000000000002</c:v>
                </c:pt>
                <c:pt idx="139">
                  <c:v>0.77500000000000002</c:v>
                </c:pt>
                <c:pt idx="140">
                  <c:v>0.77400000000000002</c:v>
                </c:pt>
                <c:pt idx="141">
                  <c:v>0.77200000000000002</c:v>
                </c:pt>
                <c:pt idx="142">
                  <c:v>0.76900000000000002</c:v>
                </c:pt>
                <c:pt idx="143">
                  <c:v>0.76900000000000002</c:v>
                </c:pt>
                <c:pt idx="144">
                  <c:v>0.76800000000000002</c:v>
                </c:pt>
                <c:pt idx="145">
                  <c:v>0.77</c:v>
                </c:pt>
                <c:pt idx="146">
                  <c:v>0.76700000000000002</c:v>
                </c:pt>
                <c:pt idx="147">
                  <c:v>0.76700000000000002</c:v>
                </c:pt>
                <c:pt idx="148">
                  <c:v>0.76600000000000001</c:v>
                </c:pt>
                <c:pt idx="149">
                  <c:v>0.76400000000000001</c:v>
                </c:pt>
                <c:pt idx="150">
                  <c:v>0.76400000000000001</c:v>
                </c:pt>
                <c:pt idx="151">
                  <c:v>0.76400000000000001</c:v>
                </c:pt>
                <c:pt idx="152">
                  <c:v>0.76700000000000002</c:v>
                </c:pt>
                <c:pt idx="153">
                  <c:v>0.76800000000000002</c:v>
                </c:pt>
                <c:pt idx="154">
                  <c:v>0.76800000000000002</c:v>
                </c:pt>
                <c:pt idx="155">
                  <c:v>0.754</c:v>
                </c:pt>
                <c:pt idx="156">
                  <c:v>0.77</c:v>
                </c:pt>
                <c:pt idx="157">
                  <c:v>0.79300000000000004</c:v>
                </c:pt>
                <c:pt idx="158">
                  <c:v>0.79700000000000004</c:v>
                </c:pt>
                <c:pt idx="159">
                  <c:v>0.77900000000000003</c:v>
                </c:pt>
                <c:pt idx="160">
                  <c:v>0.76900000000000002</c:v>
                </c:pt>
                <c:pt idx="161">
                  <c:v>0.76500000000000001</c:v>
                </c:pt>
                <c:pt idx="162">
                  <c:v>0.75800000000000001</c:v>
                </c:pt>
                <c:pt idx="163">
                  <c:v>0.753</c:v>
                </c:pt>
                <c:pt idx="164">
                  <c:v>0.75</c:v>
                </c:pt>
                <c:pt idx="165">
                  <c:v>0.74399999999999999</c:v>
                </c:pt>
                <c:pt idx="166">
                  <c:v>0.74</c:v>
                </c:pt>
                <c:pt idx="167">
                  <c:v>0.73499999999999999</c:v>
                </c:pt>
                <c:pt idx="168">
                  <c:v>0.72899999999999998</c:v>
                </c:pt>
                <c:pt idx="169">
                  <c:v>0.72299999999999998</c:v>
                </c:pt>
                <c:pt idx="170">
                  <c:v>0.71699999999999997</c:v>
                </c:pt>
                <c:pt idx="171">
                  <c:v>0.70699999999999996</c:v>
                </c:pt>
                <c:pt idx="172">
                  <c:v>0.69799999999999995</c:v>
                </c:pt>
                <c:pt idx="173">
                  <c:v>0.69199999999999995</c:v>
                </c:pt>
                <c:pt idx="174">
                  <c:v>0.68799999999999994</c:v>
                </c:pt>
                <c:pt idx="175">
                  <c:v>0.68600000000000005</c:v>
                </c:pt>
                <c:pt idx="176">
                  <c:v>0.68600000000000005</c:v>
                </c:pt>
                <c:pt idx="177">
                  <c:v>0.68</c:v>
                </c:pt>
                <c:pt idx="178">
                  <c:v>0.67800000000000005</c:v>
                </c:pt>
                <c:pt idx="179">
                  <c:v>0.67100000000000004</c:v>
                </c:pt>
                <c:pt idx="180">
                  <c:v>0.66600000000000004</c:v>
                </c:pt>
                <c:pt idx="181">
                  <c:v>0.65600000000000003</c:v>
                </c:pt>
                <c:pt idx="182">
                  <c:v>0.64600000000000002</c:v>
                </c:pt>
                <c:pt idx="183">
                  <c:v>0.64800000000000002</c:v>
                </c:pt>
                <c:pt idx="184">
                  <c:v>0.63900000000000001</c:v>
                </c:pt>
                <c:pt idx="185">
                  <c:v>0.64</c:v>
                </c:pt>
                <c:pt idx="186">
                  <c:v>0.64</c:v>
                </c:pt>
                <c:pt idx="187">
                  <c:v>0.63300000000000001</c:v>
                </c:pt>
                <c:pt idx="188">
                  <c:v>0.625</c:v>
                </c:pt>
                <c:pt idx="189">
                  <c:v>0.61899999999999999</c:v>
                </c:pt>
                <c:pt idx="190">
                  <c:v>0.621</c:v>
                </c:pt>
                <c:pt idx="191">
                  <c:v>0.63600000000000001</c:v>
                </c:pt>
                <c:pt idx="192">
                  <c:v>0.63400000000000001</c:v>
                </c:pt>
                <c:pt idx="193">
                  <c:v>0.63100000000000001</c:v>
                </c:pt>
                <c:pt idx="194">
                  <c:v>0.63500000000000001</c:v>
                </c:pt>
                <c:pt idx="195">
                  <c:v>0.626</c:v>
                </c:pt>
                <c:pt idx="196">
                  <c:v>0.628</c:v>
                </c:pt>
                <c:pt idx="197">
                  <c:v>0.63100000000000001</c:v>
                </c:pt>
                <c:pt idx="198">
                  <c:v>0.63500000000000001</c:v>
                </c:pt>
                <c:pt idx="199">
                  <c:v>0.65400000000000003</c:v>
                </c:pt>
                <c:pt idx="200">
                  <c:v>0.69199999999999995</c:v>
                </c:pt>
                <c:pt idx="201">
                  <c:v>0.70799999999999996</c:v>
                </c:pt>
                <c:pt idx="202">
                  <c:v>0.71299999999999997</c:v>
                </c:pt>
                <c:pt idx="203">
                  <c:v>0.71399999999999997</c:v>
                </c:pt>
                <c:pt idx="204">
                  <c:v>0.71599999999999997</c:v>
                </c:pt>
                <c:pt idx="205">
                  <c:v>0.71399999999999997</c:v>
                </c:pt>
                <c:pt idx="206">
                  <c:v>0.71599999999999997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Tabelle1!$H$1</c:f>
              <c:strCache>
                <c:ptCount val="1"/>
                <c:pt idx="0">
                  <c:v>Hum 3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Tabelle1!$H$2:$H$208</c:f>
              <c:numCache>
                <c:formatCode>0.0%</c:formatCode>
                <c:ptCount val="207"/>
                <c:pt idx="0">
                  <c:v>0.71899999999999997</c:v>
                </c:pt>
                <c:pt idx="1">
                  <c:v>0.71899999999999997</c:v>
                </c:pt>
                <c:pt idx="2">
                  <c:v>0.72099999999999997</c:v>
                </c:pt>
                <c:pt idx="3">
                  <c:v>0.72099999999999997</c:v>
                </c:pt>
                <c:pt idx="4">
                  <c:v>0.72199999999999998</c:v>
                </c:pt>
                <c:pt idx="5">
                  <c:v>0.72199999999999998</c:v>
                </c:pt>
                <c:pt idx="6">
                  <c:v>0.72099999999999997</c:v>
                </c:pt>
                <c:pt idx="7">
                  <c:v>0.72199999999999998</c:v>
                </c:pt>
                <c:pt idx="8">
                  <c:v>0.72199999999999998</c:v>
                </c:pt>
                <c:pt idx="9">
                  <c:v>0.72199999999999998</c:v>
                </c:pt>
                <c:pt idx="10">
                  <c:v>0.72199999999999998</c:v>
                </c:pt>
                <c:pt idx="11">
                  <c:v>0.72099999999999997</c:v>
                </c:pt>
                <c:pt idx="12">
                  <c:v>0.72099999999999997</c:v>
                </c:pt>
                <c:pt idx="13">
                  <c:v>0.72099999999999997</c:v>
                </c:pt>
                <c:pt idx="14">
                  <c:v>0.72099999999999997</c:v>
                </c:pt>
                <c:pt idx="15">
                  <c:v>0.72099999999999997</c:v>
                </c:pt>
                <c:pt idx="16">
                  <c:v>0.72</c:v>
                </c:pt>
                <c:pt idx="17">
                  <c:v>0.72</c:v>
                </c:pt>
                <c:pt idx="18">
                  <c:v>0.72</c:v>
                </c:pt>
                <c:pt idx="19">
                  <c:v>0.71899999999999997</c:v>
                </c:pt>
                <c:pt idx="20">
                  <c:v>0.71899999999999997</c:v>
                </c:pt>
                <c:pt idx="21">
                  <c:v>0.71899999999999997</c:v>
                </c:pt>
                <c:pt idx="22">
                  <c:v>0.71899999999999997</c:v>
                </c:pt>
                <c:pt idx="23">
                  <c:v>0.71799999999999997</c:v>
                </c:pt>
                <c:pt idx="24">
                  <c:v>0.71799999999999997</c:v>
                </c:pt>
                <c:pt idx="25">
                  <c:v>0.71799999999999997</c:v>
                </c:pt>
                <c:pt idx="26">
                  <c:v>0.71899999999999997</c:v>
                </c:pt>
                <c:pt idx="27">
                  <c:v>0.71899999999999997</c:v>
                </c:pt>
                <c:pt idx="28">
                  <c:v>0.71899999999999997</c:v>
                </c:pt>
                <c:pt idx="29">
                  <c:v>0.71699999999999997</c:v>
                </c:pt>
                <c:pt idx="30">
                  <c:v>0.71699999999999997</c:v>
                </c:pt>
                <c:pt idx="31">
                  <c:v>0.71699999999999997</c:v>
                </c:pt>
                <c:pt idx="32">
                  <c:v>0.71699999999999997</c:v>
                </c:pt>
                <c:pt idx="33">
                  <c:v>0.71599999999999997</c:v>
                </c:pt>
                <c:pt idx="34">
                  <c:v>0.71599999999999997</c:v>
                </c:pt>
                <c:pt idx="35">
                  <c:v>0.71599999999999997</c:v>
                </c:pt>
                <c:pt idx="36">
                  <c:v>0.71599999999999997</c:v>
                </c:pt>
                <c:pt idx="37">
                  <c:v>0.71699999999999997</c:v>
                </c:pt>
                <c:pt idx="38">
                  <c:v>0.71399999999999997</c:v>
                </c:pt>
                <c:pt idx="39">
                  <c:v>0.71799999999999997</c:v>
                </c:pt>
                <c:pt idx="40">
                  <c:v>0.71799999999999997</c:v>
                </c:pt>
                <c:pt idx="41">
                  <c:v>0.72399999999999998</c:v>
                </c:pt>
                <c:pt idx="42">
                  <c:v>0.73099999999999998</c:v>
                </c:pt>
                <c:pt idx="43">
                  <c:v>0.73699999999999999</c:v>
                </c:pt>
                <c:pt idx="44">
                  <c:v>0.73799999999999999</c:v>
                </c:pt>
                <c:pt idx="45">
                  <c:v>0.73599999999999999</c:v>
                </c:pt>
                <c:pt idx="46">
                  <c:v>0.73399999999999999</c:v>
                </c:pt>
                <c:pt idx="47">
                  <c:v>0.74399999999999999</c:v>
                </c:pt>
                <c:pt idx="48">
                  <c:v>0.749</c:v>
                </c:pt>
                <c:pt idx="49">
                  <c:v>0.74199999999999999</c:v>
                </c:pt>
                <c:pt idx="50">
                  <c:v>0.73399999999999999</c:v>
                </c:pt>
                <c:pt idx="51">
                  <c:v>0.72899999999999998</c:v>
                </c:pt>
                <c:pt idx="52">
                  <c:v>0.71</c:v>
                </c:pt>
                <c:pt idx="53">
                  <c:v>0.68400000000000005</c:v>
                </c:pt>
                <c:pt idx="54">
                  <c:v>0.65900000000000003</c:v>
                </c:pt>
                <c:pt idx="55">
                  <c:v>0.64700000000000002</c:v>
                </c:pt>
                <c:pt idx="56">
                  <c:v>0.64300000000000002</c:v>
                </c:pt>
                <c:pt idx="57">
                  <c:v>0.63300000000000001</c:v>
                </c:pt>
                <c:pt idx="58">
                  <c:v>0.627</c:v>
                </c:pt>
                <c:pt idx="59">
                  <c:v>0.625</c:v>
                </c:pt>
                <c:pt idx="60">
                  <c:v>0.626</c:v>
                </c:pt>
                <c:pt idx="61">
                  <c:v>0.61799999999999999</c:v>
                </c:pt>
                <c:pt idx="62">
                  <c:v>0.61099999999999999</c:v>
                </c:pt>
                <c:pt idx="63">
                  <c:v>0.60699999999999998</c:v>
                </c:pt>
                <c:pt idx="64">
                  <c:v>0.60099999999999998</c:v>
                </c:pt>
                <c:pt idx="65">
                  <c:v>0.59499999999999997</c:v>
                </c:pt>
                <c:pt idx="66">
                  <c:v>0.58699999999999997</c:v>
                </c:pt>
                <c:pt idx="67">
                  <c:v>0.57399999999999995</c:v>
                </c:pt>
                <c:pt idx="68">
                  <c:v>0.57099999999999995</c:v>
                </c:pt>
                <c:pt idx="69">
                  <c:v>0.56799999999999995</c:v>
                </c:pt>
                <c:pt idx="70">
                  <c:v>0.56999999999999995</c:v>
                </c:pt>
                <c:pt idx="71">
                  <c:v>0.55200000000000005</c:v>
                </c:pt>
                <c:pt idx="72">
                  <c:v>0.54100000000000004</c:v>
                </c:pt>
                <c:pt idx="73">
                  <c:v>0.53900000000000003</c:v>
                </c:pt>
                <c:pt idx="74">
                  <c:v>0.53400000000000003</c:v>
                </c:pt>
                <c:pt idx="75">
                  <c:v>0.52600000000000002</c:v>
                </c:pt>
                <c:pt idx="76">
                  <c:v>0.52700000000000002</c:v>
                </c:pt>
                <c:pt idx="77">
                  <c:v>0.53400000000000003</c:v>
                </c:pt>
                <c:pt idx="78">
                  <c:v>0.53500000000000003</c:v>
                </c:pt>
                <c:pt idx="79">
                  <c:v>0.54500000000000004</c:v>
                </c:pt>
                <c:pt idx="80">
                  <c:v>0.55500000000000005</c:v>
                </c:pt>
                <c:pt idx="81">
                  <c:v>0.57099999999999995</c:v>
                </c:pt>
                <c:pt idx="82">
                  <c:v>0.58399999999999996</c:v>
                </c:pt>
                <c:pt idx="83">
                  <c:v>0.57599999999999996</c:v>
                </c:pt>
                <c:pt idx="84">
                  <c:v>0.57899999999999996</c:v>
                </c:pt>
                <c:pt idx="85">
                  <c:v>0.58599999999999997</c:v>
                </c:pt>
                <c:pt idx="86">
                  <c:v>0.58299999999999996</c:v>
                </c:pt>
                <c:pt idx="87">
                  <c:v>0.58399999999999996</c:v>
                </c:pt>
                <c:pt idx="88">
                  <c:v>0.82299999999999995</c:v>
                </c:pt>
                <c:pt idx="89">
                  <c:v>0.91900000000000004</c:v>
                </c:pt>
                <c:pt idx="90">
                  <c:v>0.84299999999999997</c:v>
                </c:pt>
                <c:pt idx="91">
                  <c:v>0.76800000000000002</c:v>
                </c:pt>
                <c:pt idx="92">
                  <c:v>0.72299999999999998</c:v>
                </c:pt>
                <c:pt idx="93">
                  <c:v>0.69399999999999995</c:v>
                </c:pt>
                <c:pt idx="94">
                  <c:v>0.67100000000000004</c:v>
                </c:pt>
                <c:pt idx="95">
                  <c:v>0.65300000000000002</c:v>
                </c:pt>
                <c:pt idx="96">
                  <c:v>0.65</c:v>
                </c:pt>
                <c:pt idx="97">
                  <c:v>0.65600000000000003</c:v>
                </c:pt>
                <c:pt idx="98">
                  <c:v>0.66200000000000003</c:v>
                </c:pt>
                <c:pt idx="99">
                  <c:v>0.67</c:v>
                </c:pt>
                <c:pt idx="100">
                  <c:v>0.67700000000000005</c:v>
                </c:pt>
                <c:pt idx="101">
                  <c:v>0.67800000000000005</c:v>
                </c:pt>
                <c:pt idx="102">
                  <c:v>0.67700000000000005</c:v>
                </c:pt>
                <c:pt idx="103">
                  <c:v>0.68500000000000005</c:v>
                </c:pt>
                <c:pt idx="104">
                  <c:v>0.73799999999999999</c:v>
                </c:pt>
                <c:pt idx="105">
                  <c:v>0.78800000000000003</c:v>
                </c:pt>
                <c:pt idx="106">
                  <c:v>0.81499999999999995</c:v>
                </c:pt>
                <c:pt idx="107">
                  <c:v>0.82699999999999996</c:v>
                </c:pt>
                <c:pt idx="108">
                  <c:v>0.83199999999999996</c:v>
                </c:pt>
                <c:pt idx="109">
                  <c:v>0.91700000000000004</c:v>
                </c:pt>
                <c:pt idx="110">
                  <c:v>0.95799999999999996</c:v>
                </c:pt>
                <c:pt idx="111">
                  <c:v>0.95799999999999996</c:v>
                </c:pt>
                <c:pt idx="112">
                  <c:v>0.95599999999999996</c:v>
                </c:pt>
                <c:pt idx="113">
                  <c:v>0.95399999999999996</c:v>
                </c:pt>
                <c:pt idx="114">
                  <c:v>0.95099999999999996</c:v>
                </c:pt>
                <c:pt idx="115">
                  <c:v>0.94699999999999995</c:v>
                </c:pt>
                <c:pt idx="116">
                  <c:v>0.94399999999999995</c:v>
                </c:pt>
                <c:pt idx="117">
                  <c:v>0.94199999999999995</c:v>
                </c:pt>
                <c:pt idx="118">
                  <c:v>0.93</c:v>
                </c:pt>
                <c:pt idx="119">
                  <c:v>0.92800000000000005</c:v>
                </c:pt>
                <c:pt idx="120">
                  <c:v>0.93</c:v>
                </c:pt>
                <c:pt idx="121">
                  <c:v>0.92</c:v>
                </c:pt>
                <c:pt idx="122">
                  <c:v>0.90900000000000003</c:v>
                </c:pt>
                <c:pt idx="123">
                  <c:v>0.90500000000000003</c:v>
                </c:pt>
                <c:pt idx="124">
                  <c:v>0.90400000000000003</c:v>
                </c:pt>
                <c:pt idx="125">
                  <c:v>0.90400000000000003</c:v>
                </c:pt>
                <c:pt idx="126">
                  <c:v>0.90400000000000003</c:v>
                </c:pt>
                <c:pt idx="127">
                  <c:v>0.90400000000000003</c:v>
                </c:pt>
                <c:pt idx="128">
                  <c:v>0.90400000000000003</c:v>
                </c:pt>
                <c:pt idx="129">
                  <c:v>0.90300000000000002</c:v>
                </c:pt>
                <c:pt idx="130">
                  <c:v>0.90300000000000002</c:v>
                </c:pt>
                <c:pt idx="131">
                  <c:v>0.90300000000000002</c:v>
                </c:pt>
                <c:pt idx="132">
                  <c:v>0.90200000000000002</c:v>
                </c:pt>
                <c:pt idx="133">
                  <c:v>0.90200000000000002</c:v>
                </c:pt>
                <c:pt idx="134">
                  <c:v>0.90100000000000002</c:v>
                </c:pt>
                <c:pt idx="135">
                  <c:v>0.90100000000000002</c:v>
                </c:pt>
                <c:pt idx="136">
                  <c:v>0.90100000000000002</c:v>
                </c:pt>
                <c:pt idx="137">
                  <c:v>0.89700000000000002</c:v>
                </c:pt>
                <c:pt idx="138">
                  <c:v>0.89400000000000002</c:v>
                </c:pt>
                <c:pt idx="139">
                  <c:v>0.88900000000000001</c:v>
                </c:pt>
                <c:pt idx="140">
                  <c:v>0.88800000000000001</c:v>
                </c:pt>
                <c:pt idx="141">
                  <c:v>0.88600000000000001</c:v>
                </c:pt>
                <c:pt idx="142">
                  <c:v>0.88300000000000001</c:v>
                </c:pt>
                <c:pt idx="143">
                  <c:v>0.88200000000000001</c:v>
                </c:pt>
                <c:pt idx="144">
                  <c:v>0.88100000000000001</c:v>
                </c:pt>
                <c:pt idx="145">
                  <c:v>0.88200000000000001</c:v>
                </c:pt>
                <c:pt idx="146">
                  <c:v>0.879</c:v>
                </c:pt>
                <c:pt idx="147">
                  <c:v>0.878</c:v>
                </c:pt>
                <c:pt idx="148">
                  <c:v>0.876</c:v>
                </c:pt>
                <c:pt idx="149">
                  <c:v>0.874</c:v>
                </c:pt>
                <c:pt idx="150">
                  <c:v>0.874</c:v>
                </c:pt>
                <c:pt idx="151">
                  <c:v>0.875</c:v>
                </c:pt>
                <c:pt idx="152">
                  <c:v>0.873</c:v>
                </c:pt>
                <c:pt idx="153">
                  <c:v>0.873</c:v>
                </c:pt>
                <c:pt idx="154">
                  <c:v>0.873</c:v>
                </c:pt>
                <c:pt idx="155">
                  <c:v>0.84899999999999998</c:v>
                </c:pt>
                <c:pt idx="156">
                  <c:v>0.877</c:v>
                </c:pt>
                <c:pt idx="157">
                  <c:v>0.90400000000000003</c:v>
                </c:pt>
                <c:pt idx="158">
                  <c:v>0.90600000000000003</c:v>
                </c:pt>
                <c:pt idx="159">
                  <c:v>0.88700000000000001</c:v>
                </c:pt>
                <c:pt idx="160">
                  <c:v>0.872</c:v>
                </c:pt>
                <c:pt idx="161">
                  <c:v>0.86599999999999999</c:v>
                </c:pt>
                <c:pt idx="162">
                  <c:v>0.85599999999999998</c:v>
                </c:pt>
                <c:pt idx="163">
                  <c:v>0.84899999999999998</c:v>
                </c:pt>
                <c:pt idx="164">
                  <c:v>0.84099999999999997</c:v>
                </c:pt>
                <c:pt idx="165">
                  <c:v>0.83199999999999996</c:v>
                </c:pt>
                <c:pt idx="166">
                  <c:v>0.82399999999999995</c:v>
                </c:pt>
                <c:pt idx="167">
                  <c:v>0.81499999999999995</c:v>
                </c:pt>
                <c:pt idx="168">
                  <c:v>0.80700000000000005</c:v>
                </c:pt>
                <c:pt idx="169">
                  <c:v>0.79600000000000004</c:v>
                </c:pt>
                <c:pt idx="170">
                  <c:v>0.78500000000000003</c:v>
                </c:pt>
                <c:pt idx="171">
                  <c:v>0.76900000000000002</c:v>
                </c:pt>
                <c:pt idx="172">
                  <c:v>0.755</c:v>
                </c:pt>
                <c:pt idx="173">
                  <c:v>0.74299999999999999</c:v>
                </c:pt>
                <c:pt idx="174">
                  <c:v>0.73699999999999999</c:v>
                </c:pt>
                <c:pt idx="175">
                  <c:v>0.73399999999999999</c:v>
                </c:pt>
                <c:pt idx="176">
                  <c:v>0.73399999999999999</c:v>
                </c:pt>
                <c:pt idx="177">
                  <c:v>0.72399999999999998</c:v>
                </c:pt>
                <c:pt idx="178">
                  <c:v>0.72</c:v>
                </c:pt>
                <c:pt idx="179">
                  <c:v>0.70699999999999996</c:v>
                </c:pt>
                <c:pt idx="180">
                  <c:v>0.7</c:v>
                </c:pt>
                <c:pt idx="181">
                  <c:v>0.68500000000000005</c:v>
                </c:pt>
                <c:pt idx="182">
                  <c:v>0.66900000000000004</c:v>
                </c:pt>
                <c:pt idx="183">
                  <c:v>0.67500000000000004</c:v>
                </c:pt>
                <c:pt idx="184">
                  <c:v>0.66</c:v>
                </c:pt>
                <c:pt idx="185">
                  <c:v>0.65800000000000003</c:v>
                </c:pt>
                <c:pt idx="186">
                  <c:v>0.66</c:v>
                </c:pt>
                <c:pt idx="187">
                  <c:v>0.65</c:v>
                </c:pt>
                <c:pt idx="188">
                  <c:v>0.64</c:v>
                </c:pt>
                <c:pt idx="189">
                  <c:v>0.629</c:v>
                </c:pt>
                <c:pt idx="190">
                  <c:v>0.63200000000000001</c:v>
                </c:pt>
                <c:pt idx="191">
                  <c:v>0.65100000000000002</c:v>
                </c:pt>
                <c:pt idx="192">
                  <c:v>0.65</c:v>
                </c:pt>
                <c:pt idx="193">
                  <c:v>0.64600000000000002</c:v>
                </c:pt>
                <c:pt idx="194">
                  <c:v>0.65300000000000002</c:v>
                </c:pt>
                <c:pt idx="195">
                  <c:v>0.63900000000000001</c:v>
                </c:pt>
                <c:pt idx="196">
                  <c:v>0.64100000000000001</c:v>
                </c:pt>
                <c:pt idx="197">
                  <c:v>0.64500000000000002</c:v>
                </c:pt>
                <c:pt idx="198">
                  <c:v>0.65100000000000002</c:v>
                </c:pt>
                <c:pt idx="199">
                  <c:v>0.69299999999999995</c:v>
                </c:pt>
                <c:pt idx="200">
                  <c:v>0.73699999999999999</c:v>
                </c:pt>
                <c:pt idx="201">
                  <c:v>0.76500000000000001</c:v>
                </c:pt>
                <c:pt idx="202">
                  <c:v>0.77300000000000002</c:v>
                </c:pt>
                <c:pt idx="203">
                  <c:v>0.77700000000000002</c:v>
                </c:pt>
                <c:pt idx="204">
                  <c:v>0.77900000000000003</c:v>
                </c:pt>
                <c:pt idx="205">
                  <c:v>0.77700000000000002</c:v>
                </c:pt>
                <c:pt idx="206">
                  <c:v>0.78100000000000003</c:v>
                </c:pt>
              </c:numCache>
            </c:numRef>
          </c:yVal>
          <c:smooth val="1"/>
        </c:ser>
        <c:axId val="103042432"/>
        <c:axId val="103040128"/>
      </c:scatterChart>
      <c:valAx>
        <c:axId val="74424704"/>
        <c:scaling>
          <c:orientation val="minMax"/>
          <c:max val="43384.800000000003"/>
          <c:min val="43382.9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</c:title>
        <c:numFmt formatCode="dd\.mm\.yy\ \ \ hh:mm" sourceLinked="1"/>
        <c:tickLblPos val="nextTo"/>
        <c:txPr>
          <a:bodyPr rot="-900000"/>
          <a:lstStyle/>
          <a:p>
            <a:pPr>
              <a:defRPr/>
            </a:pPr>
            <a:endParaRPr lang="de-DE"/>
          </a:p>
        </c:txPr>
        <c:crossAx val="74502912"/>
        <c:crosses val="autoZero"/>
        <c:crossBetween val="midCat"/>
      </c:valAx>
      <c:valAx>
        <c:axId val="745029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</c:title>
        <c:numFmt formatCode="0.0" sourceLinked="1"/>
        <c:tickLblPos val="nextTo"/>
        <c:crossAx val="74424704"/>
        <c:crosses val="autoZero"/>
        <c:crossBetween val="midCat"/>
      </c:valAx>
      <c:valAx>
        <c:axId val="103040128"/>
        <c:scaling>
          <c:orientation val="minMax"/>
          <c:max val="1.1000000000000001"/>
          <c:min val="0.30000000000000004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Humidity</a:t>
                </a:r>
              </a:p>
            </c:rich>
          </c:tx>
          <c:layout/>
        </c:title>
        <c:numFmt formatCode="0.0%" sourceLinked="1"/>
        <c:tickLblPos val="nextTo"/>
        <c:crossAx val="103042432"/>
        <c:crosses val="max"/>
        <c:crossBetween val="midCat"/>
      </c:valAx>
      <c:valAx>
        <c:axId val="103042432"/>
        <c:scaling>
          <c:orientation val="minMax"/>
        </c:scaling>
        <c:delete val="1"/>
        <c:axPos val="b"/>
        <c:numFmt formatCode="dd\.mm\.yy\ \ \ hh:mm" sourceLinked="1"/>
        <c:tickLblPos val="none"/>
        <c:crossAx val="103040128"/>
        <c:crossBetween val="midCat"/>
      </c:valAx>
    </c:plotArea>
    <c:legend>
      <c:legendPos val="r"/>
      <c:layout>
        <c:manualLayout>
          <c:xMode val="edge"/>
          <c:yMode val="edge"/>
          <c:x val="0.17927693605086364"/>
          <c:y val="0.48568986626299132"/>
          <c:w val="6.0594704542798576E-2"/>
          <c:h val="0.2694920027694005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</c:chart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Average Temp and Hum</a:t>
            </a:r>
          </a:p>
        </c:rich>
      </c:tx>
      <c:layout/>
    </c:title>
    <c:plotArea>
      <c:layout/>
      <c:scatterChart>
        <c:scatterStyle val="smoothMarker"/>
        <c:ser>
          <c:idx val="1"/>
          <c:order val="0"/>
          <c:tx>
            <c:strRef>
              <c:f>Tabelle1!$M$1</c:f>
              <c:strCache>
                <c:ptCount val="1"/>
                <c:pt idx="0">
                  <c:v>Temp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Tabelle1!$M$2:$M$208</c:f>
              <c:numCache>
                <c:formatCode>0.0</c:formatCode>
                <c:ptCount val="207"/>
                <c:pt idx="0">
                  <c:v>17.733333333333331</c:v>
                </c:pt>
                <c:pt idx="1">
                  <c:v>17.7</c:v>
                </c:pt>
                <c:pt idx="2">
                  <c:v>17.5</c:v>
                </c:pt>
                <c:pt idx="3">
                  <c:v>17.433333333333334</c:v>
                </c:pt>
                <c:pt idx="4">
                  <c:v>17.366666666666664</c:v>
                </c:pt>
                <c:pt idx="5">
                  <c:v>17.333333333333332</c:v>
                </c:pt>
                <c:pt idx="6">
                  <c:v>17.266666666666666</c:v>
                </c:pt>
                <c:pt idx="7">
                  <c:v>17.233333333333334</c:v>
                </c:pt>
                <c:pt idx="8">
                  <c:v>17.166666666666668</c:v>
                </c:pt>
                <c:pt idx="9">
                  <c:v>17.166666666666668</c:v>
                </c:pt>
                <c:pt idx="10">
                  <c:v>17.166666666666668</c:v>
                </c:pt>
                <c:pt idx="11">
                  <c:v>17.133333333333333</c:v>
                </c:pt>
                <c:pt idx="12">
                  <c:v>17.100000000000001</c:v>
                </c:pt>
                <c:pt idx="13">
                  <c:v>17.066666666666666</c:v>
                </c:pt>
                <c:pt idx="14">
                  <c:v>17.066666666666666</c:v>
                </c:pt>
                <c:pt idx="15">
                  <c:v>17.033333333333335</c:v>
                </c:pt>
                <c:pt idx="16">
                  <c:v>17.033333333333335</c:v>
                </c:pt>
                <c:pt idx="17">
                  <c:v>17.033333333333335</c:v>
                </c:pt>
                <c:pt idx="18">
                  <c:v>17</c:v>
                </c:pt>
                <c:pt idx="19">
                  <c:v>16.966666666666665</c:v>
                </c:pt>
                <c:pt idx="20">
                  <c:v>16.966666666666665</c:v>
                </c:pt>
                <c:pt idx="21">
                  <c:v>16.966666666666665</c:v>
                </c:pt>
                <c:pt idx="22">
                  <c:v>16.966666666666665</c:v>
                </c:pt>
                <c:pt idx="23">
                  <c:v>16.933333333333334</c:v>
                </c:pt>
                <c:pt idx="24">
                  <c:v>16.933333333333334</c:v>
                </c:pt>
                <c:pt idx="25">
                  <c:v>16.933333333333334</c:v>
                </c:pt>
                <c:pt idx="26">
                  <c:v>16.933333333333334</c:v>
                </c:pt>
                <c:pt idx="27">
                  <c:v>16.966666666666665</c:v>
                </c:pt>
                <c:pt idx="28">
                  <c:v>16.966666666666665</c:v>
                </c:pt>
                <c:pt idx="29">
                  <c:v>16.966666666666665</c:v>
                </c:pt>
                <c:pt idx="30">
                  <c:v>16.966666666666665</c:v>
                </c:pt>
                <c:pt idx="31">
                  <c:v>16.966666666666665</c:v>
                </c:pt>
                <c:pt idx="32">
                  <c:v>16.966666666666665</c:v>
                </c:pt>
                <c:pt idx="33">
                  <c:v>16.966666666666665</c:v>
                </c:pt>
                <c:pt idx="34">
                  <c:v>16.966666666666665</c:v>
                </c:pt>
                <c:pt idx="35">
                  <c:v>16.966666666666665</c:v>
                </c:pt>
                <c:pt idx="36">
                  <c:v>16.966666666666665</c:v>
                </c:pt>
                <c:pt idx="37">
                  <c:v>16.966666666666665</c:v>
                </c:pt>
                <c:pt idx="38">
                  <c:v>16.933333333333334</c:v>
                </c:pt>
                <c:pt idx="39">
                  <c:v>16.966666666666665</c:v>
                </c:pt>
                <c:pt idx="40">
                  <c:v>16.933333333333334</c:v>
                </c:pt>
                <c:pt idx="41">
                  <c:v>16.933333333333334</c:v>
                </c:pt>
                <c:pt idx="42">
                  <c:v>16.966666666666665</c:v>
                </c:pt>
                <c:pt idx="43">
                  <c:v>16.966666666666665</c:v>
                </c:pt>
                <c:pt idx="44">
                  <c:v>16.966666666666665</c:v>
                </c:pt>
                <c:pt idx="45">
                  <c:v>16.966666666666665</c:v>
                </c:pt>
                <c:pt idx="46">
                  <c:v>16.966666666666665</c:v>
                </c:pt>
                <c:pt idx="47">
                  <c:v>17.066666666666666</c:v>
                </c:pt>
                <c:pt idx="48">
                  <c:v>17.166666666666668</c:v>
                </c:pt>
                <c:pt idx="49">
                  <c:v>17.266666666666666</c:v>
                </c:pt>
                <c:pt idx="50">
                  <c:v>17.366666666666664</c:v>
                </c:pt>
                <c:pt idx="51">
                  <c:v>17.433333333333334</c:v>
                </c:pt>
                <c:pt idx="52">
                  <c:v>17.466666666666665</c:v>
                </c:pt>
                <c:pt idx="53">
                  <c:v>17.466666666666665</c:v>
                </c:pt>
                <c:pt idx="54">
                  <c:v>17.666666666666668</c:v>
                </c:pt>
                <c:pt idx="55">
                  <c:v>17.600000000000001</c:v>
                </c:pt>
                <c:pt idx="56">
                  <c:v>17.466666666666665</c:v>
                </c:pt>
                <c:pt idx="57">
                  <c:v>17.533333333333335</c:v>
                </c:pt>
                <c:pt idx="58">
                  <c:v>17.466666666666665</c:v>
                </c:pt>
                <c:pt idx="59">
                  <c:v>17.333333333333332</c:v>
                </c:pt>
                <c:pt idx="60">
                  <c:v>17.366666666666664</c:v>
                </c:pt>
                <c:pt idx="61">
                  <c:v>17.333333333333332</c:v>
                </c:pt>
                <c:pt idx="62">
                  <c:v>17.333333333333332</c:v>
                </c:pt>
                <c:pt idx="63">
                  <c:v>17.433333333333334</c:v>
                </c:pt>
                <c:pt idx="64">
                  <c:v>17.399999999999999</c:v>
                </c:pt>
                <c:pt idx="65">
                  <c:v>17.366666666666664</c:v>
                </c:pt>
                <c:pt idx="66">
                  <c:v>17.533333333333335</c:v>
                </c:pt>
                <c:pt idx="67">
                  <c:v>17.733333333333334</c:v>
                </c:pt>
                <c:pt idx="68">
                  <c:v>17.666666666666668</c:v>
                </c:pt>
                <c:pt idx="69">
                  <c:v>17.5</c:v>
                </c:pt>
                <c:pt idx="70">
                  <c:v>17.433333333333334</c:v>
                </c:pt>
                <c:pt idx="71">
                  <c:v>17.333333333333332</c:v>
                </c:pt>
                <c:pt idx="72">
                  <c:v>17.333333333333332</c:v>
                </c:pt>
                <c:pt idx="73">
                  <c:v>17.333333333333332</c:v>
                </c:pt>
                <c:pt idx="74">
                  <c:v>17.333333333333332</c:v>
                </c:pt>
                <c:pt idx="75">
                  <c:v>17.233333333333334</c:v>
                </c:pt>
                <c:pt idx="76">
                  <c:v>17.233333333333334</c:v>
                </c:pt>
                <c:pt idx="77">
                  <c:v>17.233333333333334</c:v>
                </c:pt>
                <c:pt idx="78">
                  <c:v>17.233333333333334</c:v>
                </c:pt>
                <c:pt idx="79">
                  <c:v>17.233333333333334</c:v>
                </c:pt>
                <c:pt idx="80">
                  <c:v>17.233333333333334</c:v>
                </c:pt>
                <c:pt idx="81">
                  <c:v>17.233333333333334</c:v>
                </c:pt>
                <c:pt idx="82">
                  <c:v>17.233333333333334</c:v>
                </c:pt>
                <c:pt idx="83">
                  <c:v>17.233333333333334</c:v>
                </c:pt>
                <c:pt idx="84">
                  <c:v>17.233333333333334</c:v>
                </c:pt>
                <c:pt idx="85">
                  <c:v>17.233333333333334</c:v>
                </c:pt>
                <c:pt idx="86">
                  <c:v>17.400000000000002</c:v>
                </c:pt>
                <c:pt idx="87">
                  <c:v>17.8</c:v>
                </c:pt>
                <c:pt idx="88">
                  <c:v>18.333333333333332</c:v>
                </c:pt>
                <c:pt idx="89">
                  <c:v>18.033333333333335</c:v>
                </c:pt>
                <c:pt idx="90">
                  <c:v>17.7</c:v>
                </c:pt>
                <c:pt idx="91">
                  <c:v>17.5</c:v>
                </c:pt>
                <c:pt idx="92">
                  <c:v>17.366666666666667</c:v>
                </c:pt>
                <c:pt idx="93">
                  <c:v>17.3</c:v>
                </c:pt>
                <c:pt idx="94">
                  <c:v>17.366666666666664</c:v>
                </c:pt>
                <c:pt idx="95">
                  <c:v>17.599999999999998</c:v>
                </c:pt>
                <c:pt idx="96">
                  <c:v>17.533333333333335</c:v>
                </c:pt>
                <c:pt idx="97">
                  <c:v>17.433333333333334</c:v>
                </c:pt>
                <c:pt idx="98">
                  <c:v>17.333333333333332</c:v>
                </c:pt>
                <c:pt idx="99">
                  <c:v>17.333333333333332</c:v>
                </c:pt>
                <c:pt idx="100">
                  <c:v>17.266666666666666</c:v>
                </c:pt>
                <c:pt idx="101">
                  <c:v>17.400000000000002</c:v>
                </c:pt>
                <c:pt idx="102">
                  <c:v>13.633333333333333</c:v>
                </c:pt>
                <c:pt idx="103">
                  <c:v>9.3333333333333339</c:v>
                </c:pt>
                <c:pt idx="104">
                  <c:v>6.2333333333333334</c:v>
                </c:pt>
                <c:pt idx="105">
                  <c:v>5.5999999999999988</c:v>
                </c:pt>
                <c:pt idx="106">
                  <c:v>6.0333333333333341</c:v>
                </c:pt>
                <c:pt idx="107">
                  <c:v>6.7333333333333334</c:v>
                </c:pt>
                <c:pt idx="108">
                  <c:v>7.3999999999999995</c:v>
                </c:pt>
                <c:pt idx="109">
                  <c:v>8.6</c:v>
                </c:pt>
                <c:pt idx="110">
                  <c:v>8.9333333333333318</c:v>
                </c:pt>
                <c:pt idx="111">
                  <c:v>9.2333333333333343</c:v>
                </c:pt>
                <c:pt idx="112">
                  <c:v>9.7000000000000011</c:v>
                </c:pt>
                <c:pt idx="113">
                  <c:v>10.233333333333334</c:v>
                </c:pt>
                <c:pt idx="114">
                  <c:v>10.799999999999999</c:v>
                </c:pt>
                <c:pt idx="115">
                  <c:v>11.233333333333334</c:v>
                </c:pt>
                <c:pt idx="116">
                  <c:v>11.666666666666666</c:v>
                </c:pt>
                <c:pt idx="117">
                  <c:v>12.1</c:v>
                </c:pt>
                <c:pt idx="118">
                  <c:v>12.733333333333334</c:v>
                </c:pt>
                <c:pt idx="119">
                  <c:v>12.966666666666669</c:v>
                </c:pt>
                <c:pt idx="120">
                  <c:v>13.166666666666666</c:v>
                </c:pt>
                <c:pt idx="121">
                  <c:v>14.566666666666668</c:v>
                </c:pt>
                <c:pt idx="122">
                  <c:v>15.5</c:v>
                </c:pt>
                <c:pt idx="123">
                  <c:v>15.666666666666666</c:v>
                </c:pt>
                <c:pt idx="124">
                  <c:v>15.800000000000002</c:v>
                </c:pt>
                <c:pt idx="125">
                  <c:v>15.9</c:v>
                </c:pt>
                <c:pt idx="126">
                  <c:v>16</c:v>
                </c:pt>
                <c:pt idx="127">
                  <c:v>16.033333333333335</c:v>
                </c:pt>
                <c:pt idx="128">
                  <c:v>16.099999999999998</c:v>
                </c:pt>
                <c:pt idx="129">
                  <c:v>16.133333333333333</c:v>
                </c:pt>
                <c:pt idx="130">
                  <c:v>16.2</c:v>
                </c:pt>
                <c:pt idx="131">
                  <c:v>16.233333333333331</c:v>
                </c:pt>
                <c:pt idx="132">
                  <c:v>16.3</c:v>
                </c:pt>
                <c:pt idx="133">
                  <c:v>16.3</c:v>
                </c:pt>
                <c:pt idx="134">
                  <c:v>16.366666666666664</c:v>
                </c:pt>
                <c:pt idx="135">
                  <c:v>16.366666666666664</c:v>
                </c:pt>
                <c:pt idx="136">
                  <c:v>16.400000000000002</c:v>
                </c:pt>
                <c:pt idx="137">
                  <c:v>16.466666666666665</c:v>
                </c:pt>
                <c:pt idx="138">
                  <c:v>16.466666666666665</c:v>
                </c:pt>
                <c:pt idx="139">
                  <c:v>16.533333333333331</c:v>
                </c:pt>
                <c:pt idx="140">
                  <c:v>16.566666666666666</c:v>
                </c:pt>
                <c:pt idx="141">
                  <c:v>16.566666666666666</c:v>
                </c:pt>
                <c:pt idx="142">
                  <c:v>16.599999999999998</c:v>
                </c:pt>
                <c:pt idx="143">
                  <c:v>16.666666666666668</c:v>
                </c:pt>
                <c:pt idx="144">
                  <c:v>16.666666666666668</c:v>
                </c:pt>
                <c:pt idx="145">
                  <c:v>16.666666666666668</c:v>
                </c:pt>
                <c:pt idx="146">
                  <c:v>16.666666666666668</c:v>
                </c:pt>
                <c:pt idx="147">
                  <c:v>16.666666666666668</c:v>
                </c:pt>
                <c:pt idx="148">
                  <c:v>16.666666666666668</c:v>
                </c:pt>
                <c:pt idx="149">
                  <c:v>16.666666666666668</c:v>
                </c:pt>
                <c:pt idx="150">
                  <c:v>16.733333333333334</c:v>
                </c:pt>
                <c:pt idx="151">
                  <c:v>16.733333333333334</c:v>
                </c:pt>
                <c:pt idx="152">
                  <c:v>16.866666666666664</c:v>
                </c:pt>
                <c:pt idx="153">
                  <c:v>16.866666666666664</c:v>
                </c:pt>
                <c:pt idx="154">
                  <c:v>16.833333333333332</c:v>
                </c:pt>
                <c:pt idx="155">
                  <c:v>17.166666666666668</c:v>
                </c:pt>
                <c:pt idx="156">
                  <c:v>17.100000000000001</c:v>
                </c:pt>
                <c:pt idx="157">
                  <c:v>16.966666666666665</c:v>
                </c:pt>
                <c:pt idx="158">
                  <c:v>17.066666666666666</c:v>
                </c:pt>
                <c:pt idx="159">
                  <c:v>16.933333333333334</c:v>
                </c:pt>
                <c:pt idx="160">
                  <c:v>16.866666666666664</c:v>
                </c:pt>
                <c:pt idx="161">
                  <c:v>16.8</c:v>
                </c:pt>
                <c:pt idx="162">
                  <c:v>16.766666666666666</c:v>
                </c:pt>
                <c:pt idx="163">
                  <c:v>16.766666666666666</c:v>
                </c:pt>
                <c:pt idx="164">
                  <c:v>16.733333333333334</c:v>
                </c:pt>
                <c:pt idx="165">
                  <c:v>16.666666666666668</c:v>
                </c:pt>
                <c:pt idx="166">
                  <c:v>16.666666666666668</c:v>
                </c:pt>
                <c:pt idx="167">
                  <c:v>16.7</c:v>
                </c:pt>
                <c:pt idx="168">
                  <c:v>16.7</c:v>
                </c:pt>
                <c:pt idx="169">
                  <c:v>16.666666666666668</c:v>
                </c:pt>
                <c:pt idx="170">
                  <c:v>16.633333333333333</c:v>
                </c:pt>
                <c:pt idx="171">
                  <c:v>16.666666666666668</c:v>
                </c:pt>
                <c:pt idx="172">
                  <c:v>16.633333333333333</c:v>
                </c:pt>
                <c:pt idx="173">
                  <c:v>16.633333333333333</c:v>
                </c:pt>
                <c:pt idx="174">
                  <c:v>16.633333333333333</c:v>
                </c:pt>
                <c:pt idx="175">
                  <c:v>16.633333333333333</c:v>
                </c:pt>
                <c:pt idx="176">
                  <c:v>16.633333333333333</c:v>
                </c:pt>
                <c:pt idx="177">
                  <c:v>16.633333333333333</c:v>
                </c:pt>
                <c:pt idx="178">
                  <c:v>16.633333333333333</c:v>
                </c:pt>
                <c:pt idx="179">
                  <c:v>16.633333333333333</c:v>
                </c:pt>
                <c:pt idx="180">
                  <c:v>16.666666666666668</c:v>
                </c:pt>
                <c:pt idx="181">
                  <c:v>16.633333333333333</c:v>
                </c:pt>
                <c:pt idx="182">
                  <c:v>16.633333333333333</c:v>
                </c:pt>
                <c:pt idx="183">
                  <c:v>16.733333333333334</c:v>
                </c:pt>
                <c:pt idx="184">
                  <c:v>16.666666666666668</c:v>
                </c:pt>
                <c:pt idx="185">
                  <c:v>16.733333333333334</c:v>
                </c:pt>
                <c:pt idx="186">
                  <c:v>16.733333333333334</c:v>
                </c:pt>
                <c:pt idx="187">
                  <c:v>16.733333333333334</c:v>
                </c:pt>
                <c:pt idx="188">
                  <c:v>16.733333333333334</c:v>
                </c:pt>
                <c:pt idx="189">
                  <c:v>16.733333333333334</c:v>
                </c:pt>
                <c:pt idx="190">
                  <c:v>16.733333333333334</c:v>
                </c:pt>
                <c:pt idx="191">
                  <c:v>16.8</c:v>
                </c:pt>
                <c:pt idx="192">
                  <c:v>16.8</c:v>
                </c:pt>
                <c:pt idx="193">
                  <c:v>16.833333333333332</c:v>
                </c:pt>
                <c:pt idx="194">
                  <c:v>16.833333333333332</c:v>
                </c:pt>
                <c:pt idx="195">
                  <c:v>16.8</c:v>
                </c:pt>
                <c:pt idx="196">
                  <c:v>16.833333333333332</c:v>
                </c:pt>
                <c:pt idx="197">
                  <c:v>16.833333333333332</c:v>
                </c:pt>
                <c:pt idx="198">
                  <c:v>16.833333333333332</c:v>
                </c:pt>
                <c:pt idx="199">
                  <c:v>16.833333333333332</c:v>
                </c:pt>
                <c:pt idx="200">
                  <c:v>16.866666666666664</c:v>
                </c:pt>
                <c:pt idx="201">
                  <c:v>16.866666666666664</c:v>
                </c:pt>
                <c:pt idx="202">
                  <c:v>16.866666666666664</c:v>
                </c:pt>
                <c:pt idx="203">
                  <c:v>16.833333333333332</c:v>
                </c:pt>
                <c:pt idx="204">
                  <c:v>16.833333333333332</c:v>
                </c:pt>
                <c:pt idx="205">
                  <c:v>16.833333333333332</c:v>
                </c:pt>
                <c:pt idx="206">
                  <c:v>16.833333333333332</c:v>
                </c:pt>
              </c:numCache>
            </c:numRef>
          </c:yVal>
          <c:smooth val="1"/>
        </c:ser>
        <c:axId val="74252288"/>
        <c:axId val="74505216"/>
      </c:scatterChart>
      <c:scatterChart>
        <c:scatterStyle val="smoothMarker"/>
        <c:ser>
          <c:idx val="2"/>
          <c:order val="1"/>
          <c:tx>
            <c:strRef>
              <c:f>Tabelle1!$N$1</c:f>
              <c:strCache>
                <c:ptCount val="1"/>
                <c:pt idx="0">
                  <c:v>Hum</c:v>
                </c:pt>
              </c:strCache>
            </c:strRef>
          </c:tx>
          <c:marker>
            <c:symbol val="none"/>
          </c:marker>
          <c:xVal>
            <c:numRef>
              <c:f>Tabelle1!$B$2:$B$208</c:f>
              <c:numCache>
                <c:formatCode>dd\.mm\.yy\ \ \ hh:mm</c:formatCode>
                <c:ptCount val="207"/>
                <c:pt idx="0">
                  <c:v>43382.921539351853</c:v>
                </c:pt>
                <c:pt idx="1">
                  <c:v>43382.931192129632</c:v>
                </c:pt>
                <c:pt idx="2">
                  <c:v>43382.940023148149</c:v>
                </c:pt>
                <c:pt idx="3">
                  <c:v>43382.948854166665</c:v>
                </c:pt>
                <c:pt idx="4">
                  <c:v>43382.957708333335</c:v>
                </c:pt>
                <c:pt idx="5">
                  <c:v>43382.966539351852</c:v>
                </c:pt>
                <c:pt idx="6">
                  <c:v>43382.975358796299</c:v>
                </c:pt>
                <c:pt idx="7">
                  <c:v>43382.984189814815</c:v>
                </c:pt>
                <c:pt idx="8">
                  <c:v>43382.993020833332</c:v>
                </c:pt>
                <c:pt idx="9">
                  <c:v>43383.001875000002</c:v>
                </c:pt>
                <c:pt idx="10">
                  <c:v>43383.010706018518</c:v>
                </c:pt>
                <c:pt idx="11">
                  <c:v>43383.019537037035</c:v>
                </c:pt>
                <c:pt idx="12">
                  <c:v>43383.028356481482</c:v>
                </c:pt>
                <c:pt idx="13">
                  <c:v>43383.037222222221</c:v>
                </c:pt>
                <c:pt idx="14">
                  <c:v>43383.046053240738</c:v>
                </c:pt>
                <c:pt idx="15">
                  <c:v>43383.054872685185</c:v>
                </c:pt>
                <c:pt idx="16">
                  <c:v>43383.063703703701</c:v>
                </c:pt>
                <c:pt idx="17">
                  <c:v>43383.081423611111</c:v>
                </c:pt>
                <c:pt idx="18">
                  <c:v>43383.090243055558</c:v>
                </c:pt>
                <c:pt idx="19">
                  <c:v>43383.107928240737</c:v>
                </c:pt>
                <c:pt idx="20">
                  <c:v>43383.116759259261</c:v>
                </c:pt>
                <c:pt idx="21">
                  <c:v>43383.125590277778</c:v>
                </c:pt>
                <c:pt idx="22">
                  <c:v>43383.134421296294</c:v>
                </c:pt>
                <c:pt idx="23">
                  <c:v>43383.143252314818</c:v>
                </c:pt>
                <c:pt idx="24">
                  <c:v>43383.152071759258</c:v>
                </c:pt>
                <c:pt idx="25">
                  <c:v>43383.160902777781</c:v>
                </c:pt>
                <c:pt idx="26">
                  <c:v>43383.169733796298</c:v>
                </c:pt>
                <c:pt idx="27">
                  <c:v>43383.178553240738</c:v>
                </c:pt>
                <c:pt idx="28">
                  <c:v>43383.187384259261</c:v>
                </c:pt>
                <c:pt idx="29">
                  <c:v>43383.196215277778</c:v>
                </c:pt>
                <c:pt idx="30">
                  <c:v>43383.205046296294</c:v>
                </c:pt>
                <c:pt idx="31">
                  <c:v>43383.213877314818</c:v>
                </c:pt>
                <c:pt idx="32">
                  <c:v>43383.222696759258</c:v>
                </c:pt>
                <c:pt idx="33">
                  <c:v>43383.231562499997</c:v>
                </c:pt>
                <c:pt idx="34">
                  <c:v>43383.240393518521</c:v>
                </c:pt>
                <c:pt idx="35">
                  <c:v>43383.249247685184</c:v>
                </c:pt>
                <c:pt idx="36">
                  <c:v>43383.2580787037</c:v>
                </c:pt>
                <c:pt idx="37">
                  <c:v>43383.266898148147</c:v>
                </c:pt>
                <c:pt idx="38">
                  <c:v>43383.275763888887</c:v>
                </c:pt>
                <c:pt idx="39">
                  <c:v>43383.284583333334</c:v>
                </c:pt>
                <c:pt idx="40">
                  <c:v>43383.293414351851</c:v>
                </c:pt>
                <c:pt idx="41">
                  <c:v>43383.302222222221</c:v>
                </c:pt>
                <c:pt idx="42">
                  <c:v>43383.311018518521</c:v>
                </c:pt>
                <c:pt idx="43">
                  <c:v>43383.319826388892</c:v>
                </c:pt>
                <c:pt idx="44">
                  <c:v>43383.328622685185</c:v>
                </c:pt>
                <c:pt idx="45">
                  <c:v>43383.337453703702</c:v>
                </c:pt>
                <c:pt idx="46">
                  <c:v>43383.346250000002</c:v>
                </c:pt>
                <c:pt idx="47">
                  <c:v>43383.355081018519</c:v>
                </c:pt>
                <c:pt idx="48">
                  <c:v>43383.363877314812</c:v>
                </c:pt>
                <c:pt idx="49">
                  <c:v>43383.372673611113</c:v>
                </c:pt>
                <c:pt idx="50">
                  <c:v>43383.381481481483</c:v>
                </c:pt>
                <c:pt idx="51">
                  <c:v>43383.390277777777</c:v>
                </c:pt>
                <c:pt idx="52">
                  <c:v>43383.399108796293</c:v>
                </c:pt>
                <c:pt idx="53">
                  <c:v>43383.407905092594</c:v>
                </c:pt>
                <c:pt idx="54">
                  <c:v>43383.41673611111</c:v>
                </c:pt>
                <c:pt idx="55">
                  <c:v>43383.425532407404</c:v>
                </c:pt>
                <c:pt idx="56">
                  <c:v>43383.434328703705</c:v>
                </c:pt>
                <c:pt idx="57">
                  <c:v>43383.443124999998</c:v>
                </c:pt>
                <c:pt idx="58">
                  <c:v>43383.451921296299</c:v>
                </c:pt>
                <c:pt idx="59">
                  <c:v>43383.460729166669</c:v>
                </c:pt>
                <c:pt idx="60">
                  <c:v>43383.469525462962</c:v>
                </c:pt>
                <c:pt idx="61">
                  <c:v>43383.478321759256</c:v>
                </c:pt>
                <c:pt idx="62">
                  <c:v>43383.487118055556</c:v>
                </c:pt>
                <c:pt idx="63">
                  <c:v>43383.49591435185</c:v>
                </c:pt>
                <c:pt idx="64">
                  <c:v>43383.50472222222</c:v>
                </c:pt>
                <c:pt idx="65">
                  <c:v>43383.513518518521</c:v>
                </c:pt>
                <c:pt idx="66">
                  <c:v>43383.522314814814</c:v>
                </c:pt>
                <c:pt idx="67">
                  <c:v>43383.531111111108</c:v>
                </c:pt>
                <c:pt idx="68">
                  <c:v>43383.539907407408</c:v>
                </c:pt>
                <c:pt idx="69">
                  <c:v>43383.548703703702</c:v>
                </c:pt>
                <c:pt idx="70">
                  <c:v>43383.557511574072</c:v>
                </c:pt>
                <c:pt idx="71">
                  <c:v>43383.566307870373</c:v>
                </c:pt>
                <c:pt idx="72">
                  <c:v>43383.575104166666</c:v>
                </c:pt>
                <c:pt idx="73">
                  <c:v>43383.583935185183</c:v>
                </c:pt>
                <c:pt idx="74">
                  <c:v>43383.592731481483</c:v>
                </c:pt>
                <c:pt idx="75">
                  <c:v>43383.601527777777</c:v>
                </c:pt>
                <c:pt idx="76">
                  <c:v>43383.610335648147</c:v>
                </c:pt>
                <c:pt idx="77">
                  <c:v>43383.619189814817</c:v>
                </c:pt>
                <c:pt idx="78">
                  <c:v>43383.627986111111</c:v>
                </c:pt>
                <c:pt idx="79">
                  <c:v>43383.636782407404</c:v>
                </c:pt>
                <c:pt idx="80">
                  <c:v>43383.645590277774</c:v>
                </c:pt>
                <c:pt idx="81">
                  <c:v>43383.654386574075</c:v>
                </c:pt>
                <c:pt idx="82">
                  <c:v>43383.663182870368</c:v>
                </c:pt>
                <c:pt idx="83">
                  <c:v>43383.671979166669</c:v>
                </c:pt>
                <c:pt idx="84">
                  <c:v>43383.680775462963</c:v>
                </c:pt>
                <c:pt idx="85">
                  <c:v>43383.689606481479</c:v>
                </c:pt>
                <c:pt idx="86">
                  <c:v>43383.698437500003</c:v>
                </c:pt>
                <c:pt idx="87">
                  <c:v>43383.707245370373</c:v>
                </c:pt>
                <c:pt idx="88">
                  <c:v>43383.716041666667</c:v>
                </c:pt>
                <c:pt idx="89">
                  <c:v>43383.724849537037</c:v>
                </c:pt>
                <c:pt idx="90">
                  <c:v>43383.73364583333</c:v>
                </c:pt>
                <c:pt idx="91">
                  <c:v>43383.7424537037</c:v>
                </c:pt>
                <c:pt idx="92">
                  <c:v>43383.751261574071</c:v>
                </c:pt>
                <c:pt idx="93">
                  <c:v>43383.760115740741</c:v>
                </c:pt>
                <c:pt idx="94">
                  <c:v>43383.768912037034</c:v>
                </c:pt>
                <c:pt idx="95">
                  <c:v>43383.77679398148</c:v>
                </c:pt>
                <c:pt idx="96">
                  <c:v>43383.785810185182</c:v>
                </c:pt>
                <c:pt idx="97">
                  <c:v>43383.794710648152</c:v>
                </c:pt>
                <c:pt idx="98">
                  <c:v>43383.803611111114</c:v>
                </c:pt>
                <c:pt idx="99">
                  <c:v>43383.812511574077</c:v>
                </c:pt>
                <c:pt idx="100">
                  <c:v>43383.821423611109</c:v>
                </c:pt>
                <c:pt idx="101">
                  <c:v>43383.830289351848</c:v>
                </c:pt>
                <c:pt idx="102">
                  <c:v>43383.839201388888</c:v>
                </c:pt>
                <c:pt idx="103">
                  <c:v>43383.848101851851</c:v>
                </c:pt>
                <c:pt idx="104">
                  <c:v>43383.857037037036</c:v>
                </c:pt>
                <c:pt idx="105">
                  <c:v>43383.865937499999</c:v>
                </c:pt>
                <c:pt idx="106">
                  <c:v>43383.874826388892</c:v>
                </c:pt>
                <c:pt idx="107">
                  <c:v>43383.883726851855</c:v>
                </c:pt>
                <c:pt idx="108">
                  <c:v>43383.892627314817</c:v>
                </c:pt>
                <c:pt idx="109">
                  <c:v>43383.90152777778</c:v>
                </c:pt>
                <c:pt idx="110">
                  <c:v>43383.910428240742</c:v>
                </c:pt>
                <c:pt idx="111">
                  <c:v>43383.919328703705</c:v>
                </c:pt>
                <c:pt idx="112">
                  <c:v>43383.928229166668</c:v>
                </c:pt>
                <c:pt idx="113">
                  <c:v>43383.93712962963</c:v>
                </c:pt>
                <c:pt idx="114">
                  <c:v>43383.946030092593</c:v>
                </c:pt>
                <c:pt idx="115">
                  <c:v>43383.954942129632</c:v>
                </c:pt>
                <c:pt idx="116">
                  <c:v>43383.963865740741</c:v>
                </c:pt>
                <c:pt idx="117">
                  <c:v>43383.972777777781</c:v>
                </c:pt>
                <c:pt idx="118">
                  <c:v>43383.98170138889</c:v>
                </c:pt>
                <c:pt idx="119">
                  <c:v>43383.990613425929</c:v>
                </c:pt>
                <c:pt idx="120">
                  <c:v>43383.999513888892</c:v>
                </c:pt>
                <c:pt idx="121">
                  <c:v>43384.008414351854</c:v>
                </c:pt>
                <c:pt idx="122">
                  <c:v>43384.01734953704</c:v>
                </c:pt>
                <c:pt idx="123">
                  <c:v>43384.026250000003</c:v>
                </c:pt>
                <c:pt idx="124">
                  <c:v>43384.035162037035</c:v>
                </c:pt>
                <c:pt idx="125">
                  <c:v>43384.044062499997</c:v>
                </c:pt>
                <c:pt idx="126">
                  <c:v>43384.05296296296</c:v>
                </c:pt>
                <c:pt idx="127">
                  <c:v>43384.061863425923</c:v>
                </c:pt>
                <c:pt idx="128">
                  <c:v>43384.070798611108</c:v>
                </c:pt>
                <c:pt idx="129">
                  <c:v>43384.079699074071</c:v>
                </c:pt>
                <c:pt idx="130">
                  <c:v>43384.08861111111</c:v>
                </c:pt>
                <c:pt idx="131">
                  <c:v>43384.097511574073</c:v>
                </c:pt>
                <c:pt idx="132">
                  <c:v>43384.106412037036</c:v>
                </c:pt>
                <c:pt idx="133">
                  <c:v>43384.115347222221</c:v>
                </c:pt>
                <c:pt idx="134">
                  <c:v>43384.124247685184</c:v>
                </c:pt>
                <c:pt idx="135">
                  <c:v>43384.133159722223</c:v>
                </c:pt>
                <c:pt idx="136">
                  <c:v>43384.142060185186</c:v>
                </c:pt>
                <c:pt idx="137">
                  <c:v>43384.150960648149</c:v>
                </c:pt>
                <c:pt idx="138">
                  <c:v>43384.159895833334</c:v>
                </c:pt>
                <c:pt idx="139">
                  <c:v>43384.168796296297</c:v>
                </c:pt>
                <c:pt idx="140">
                  <c:v>43384.17769675926</c:v>
                </c:pt>
                <c:pt idx="141">
                  <c:v>43384.186608796299</c:v>
                </c:pt>
                <c:pt idx="142">
                  <c:v>43384.195532407408</c:v>
                </c:pt>
                <c:pt idx="143">
                  <c:v>43384.204444444447</c:v>
                </c:pt>
                <c:pt idx="144">
                  <c:v>43384.21334490741</c:v>
                </c:pt>
                <c:pt idx="145">
                  <c:v>43384.222245370373</c:v>
                </c:pt>
                <c:pt idx="146">
                  <c:v>43384.231180555558</c:v>
                </c:pt>
                <c:pt idx="147">
                  <c:v>43384.240115740744</c:v>
                </c:pt>
                <c:pt idx="148">
                  <c:v>43384.249016203707</c:v>
                </c:pt>
                <c:pt idx="149">
                  <c:v>43384.257916666669</c:v>
                </c:pt>
                <c:pt idx="150">
                  <c:v>43384.266886574071</c:v>
                </c:pt>
                <c:pt idx="151">
                  <c:v>43384.275821759256</c:v>
                </c:pt>
                <c:pt idx="152">
                  <c:v>43384.284722222219</c:v>
                </c:pt>
                <c:pt idx="153">
                  <c:v>43384.293622685182</c:v>
                </c:pt>
                <c:pt idx="154">
                  <c:v>43384.302523148152</c:v>
                </c:pt>
                <c:pt idx="155">
                  <c:v>43384.311423611114</c:v>
                </c:pt>
                <c:pt idx="156">
                  <c:v>43384.3203125</c:v>
                </c:pt>
                <c:pt idx="157">
                  <c:v>43384.329201388886</c:v>
                </c:pt>
                <c:pt idx="158">
                  <c:v>43384.338125000002</c:v>
                </c:pt>
                <c:pt idx="159">
                  <c:v>43384.347002314818</c:v>
                </c:pt>
                <c:pt idx="160">
                  <c:v>43384.355891203704</c:v>
                </c:pt>
                <c:pt idx="161">
                  <c:v>43384.364768518521</c:v>
                </c:pt>
                <c:pt idx="162">
                  <c:v>43384.373645833337</c:v>
                </c:pt>
                <c:pt idx="163">
                  <c:v>43384.382523148146</c:v>
                </c:pt>
                <c:pt idx="164">
                  <c:v>43384.391400462962</c:v>
                </c:pt>
                <c:pt idx="165">
                  <c:v>43384.400277777779</c:v>
                </c:pt>
                <c:pt idx="166">
                  <c:v>43384.409155092595</c:v>
                </c:pt>
                <c:pt idx="167">
                  <c:v>43384.418032407404</c:v>
                </c:pt>
                <c:pt idx="168">
                  <c:v>43384.426898148151</c:v>
                </c:pt>
                <c:pt idx="169">
                  <c:v>43384.43577546296</c:v>
                </c:pt>
                <c:pt idx="170">
                  <c:v>43384.444652777776</c:v>
                </c:pt>
                <c:pt idx="171">
                  <c:v>43384.453530092593</c:v>
                </c:pt>
                <c:pt idx="172">
                  <c:v>43384.462407407409</c:v>
                </c:pt>
                <c:pt idx="173">
                  <c:v>43384.471273148149</c:v>
                </c:pt>
                <c:pt idx="174">
                  <c:v>43384.480150462965</c:v>
                </c:pt>
                <c:pt idx="175">
                  <c:v>43384.489027777781</c:v>
                </c:pt>
                <c:pt idx="176">
                  <c:v>43384.49790509259</c:v>
                </c:pt>
                <c:pt idx="177">
                  <c:v>43384.50677083333</c:v>
                </c:pt>
                <c:pt idx="178">
                  <c:v>43384.515648148146</c:v>
                </c:pt>
                <c:pt idx="179">
                  <c:v>43384.524548611109</c:v>
                </c:pt>
                <c:pt idx="180">
                  <c:v>43384.533460648148</c:v>
                </c:pt>
                <c:pt idx="181">
                  <c:v>43384.542326388888</c:v>
                </c:pt>
                <c:pt idx="182">
                  <c:v>43384.551203703704</c:v>
                </c:pt>
                <c:pt idx="183">
                  <c:v>43384.560081018521</c:v>
                </c:pt>
                <c:pt idx="184">
                  <c:v>43384.568981481483</c:v>
                </c:pt>
                <c:pt idx="185">
                  <c:v>43384.5778587963</c:v>
                </c:pt>
                <c:pt idx="186">
                  <c:v>43384.586759259262</c:v>
                </c:pt>
                <c:pt idx="187">
                  <c:v>43384.595636574071</c:v>
                </c:pt>
                <c:pt idx="188">
                  <c:v>43384.613379629627</c:v>
                </c:pt>
                <c:pt idx="189">
                  <c:v>43384.622256944444</c:v>
                </c:pt>
                <c:pt idx="190">
                  <c:v>43384.63113425926</c:v>
                </c:pt>
                <c:pt idx="191">
                  <c:v>43384.639999999999</c:v>
                </c:pt>
                <c:pt idx="192">
                  <c:v>43384.648912037039</c:v>
                </c:pt>
                <c:pt idx="193">
                  <c:v>43384.657812500001</c:v>
                </c:pt>
                <c:pt idx="194">
                  <c:v>43384.666689814818</c:v>
                </c:pt>
                <c:pt idx="195">
                  <c:v>43384.675567129627</c:v>
                </c:pt>
                <c:pt idx="196">
                  <c:v>43384.684432870374</c:v>
                </c:pt>
                <c:pt idx="197">
                  <c:v>43384.693344907406</c:v>
                </c:pt>
                <c:pt idx="198">
                  <c:v>43384.702210648145</c:v>
                </c:pt>
                <c:pt idx="199">
                  <c:v>43384.711122685185</c:v>
                </c:pt>
                <c:pt idx="200">
                  <c:v>43384.72</c:v>
                </c:pt>
                <c:pt idx="201">
                  <c:v>43384.728877314818</c:v>
                </c:pt>
                <c:pt idx="202">
                  <c:v>43384.737766203703</c:v>
                </c:pt>
                <c:pt idx="203">
                  <c:v>43384.74664351852</c:v>
                </c:pt>
                <c:pt idx="204">
                  <c:v>43384.755543981482</c:v>
                </c:pt>
                <c:pt idx="205">
                  <c:v>43384.764444444445</c:v>
                </c:pt>
                <c:pt idx="206">
                  <c:v>43384.773344907408</c:v>
                </c:pt>
              </c:numCache>
            </c:numRef>
          </c:xVal>
          <c:yVal>
            <c:numRef>
              <c:f>Tabelle1!$N$2:$N$208</c:f>
              <c:numCache>
                <c:formatCode>0.0%</c:formatCode>
                <c:ptCount val="207"/>
                <c:pt idx="0">
                  <c:v>0.73</c:v>
                </c:pt>
                <c:pt idx="1">
                  <c:v>0.73066666666666658</c:v>
                </c:pt>
                <c:pt idx="2">
                  <c:v>0.73366666666666669</c:v>
                </c:pt>
                <c:pt idx="3">
                  <c:v>0.73433333333333328</c:v>
                </c:pt>
                <c:pt idx="4">
                  <c:v>0.73533333333333328</c:v>
                </c:pt>
                <c:pt idx="5">
                  <c:v>0.73566666666666658</c:v>
                </c:pt>
                <c:pt idx="6">
                  <c:v>0.73533333333333328</c:v>
                </c:pt>
                <c:pt idx="7">
                  <c:v>0.7363333333333334</c:v>
                </c:pt>
                <c:pt idx="8">
                  <c:v>0.7360000000000001</c:v>
                </c:pt>
                <c:pt idx="9">
                  <c:v>0.7363333333333334</c:v>
                </c:pt>
                <c:pt idx="10">
                  <c:v>0.7363333333333334</c:v>
                </c:pt>
                <c:pt idx="11">
                  <c:v>0.73566666666666658</c:v>
                </c:pt>
                <c:pt idx="12">
                  <c:v>0.73566666666666658</c:v>
                </c:pt>
                <c:pt idx="13">
                  <c:v>0.73566666666666658</c:v>
                </c:pt>
                <c:pt idx="14">
                  <c:v>0.73566666666666658</c:v>
                </c:pt>
                <c:pt idx="15">
                  <c:v>0.73533333333333328</c:v>
                </c:pt>
                <c:pt idx="16">
                  <c:v>0.73433333333333339</c:v>
                </c:pt>
                <c:pt idx="17">
                  <c:v>0.73399999999999999</c:v>
                </c:pt>
                <c:pt idx="18">
                  <c:v>0.73399999999999999</c:v>
                </c:pt>
                <c:pt idx="19">
                  <c:v>0.73333333333333328</c:v>
                </c:pt>
                <c:pt idx="20">
                  <c:v>0.73299999999999998</c:v>
                </c:pt>
                <c:pt idx="21">
                  <c:v>0.73299999999999998</c:v>
                </c:pt>
                <c:pt idx="22">
                  <c:v>0.73299999999999998</c:v>
                </c:pt>
                <c:pt idx="23">
                  <c:v>0.73266666666666669</c:v>
                </c:pt>
                <c:pt idx="24">
                  <c:v>0.73266666666666669</c:v>
                </c:pt>
                <c:pt idx="25">
                  <c:v>0.73233333333333339</c:v>
                </c:pt>
                <c:pt idx="26">
                  <c:v>0.73333333333333328</c:v>
                </c:pt>
                <c:pt idx="27">
                  <c:v>0.73299999999999998</c:v>
                </c:pt>
                <c:pt idx="28">
                  <c:v>0.73299999999999998</c:v>
                </c:pt>
                <c:pt idx="29">
                  <c:v>0.73166666666666658</c:v>
                </c:pt>
                <c:pt idx="30">
                  <c:v>0.73166666666666658</c:v>
                </c:pt>
                <c:pt idx="31">
                  <c:v>0.73166666666666658</c:v>
                </c:pt>
                <c:pt idx="32">
                  <c:v>0.73133333333333328</c:v>
                </c:pt>
                <c:pt idx="33">
                  <c:v>0.73099999999999987</c:v>
                </c:pt>
                <c:pt idx="34">
                  <c:v>0.73099999999999987</c:v>
                </c:pt>
                <c:pt idx="35">
                  <c:v>0.73099999999999987</c:v>
                </c:pt>
                <c:pt idx="36">
                  <c:v>0.73099999999999987</c:v>
                </c:pt>
                <c:pt idx="37">
                  <c:v>0.73133333333333328</c:v>
                </c:pt>
                <c:pt idx="38">
                  <c:v>0.72933333333333328</c:v>
                </c:pt>
                <c:pt idx="39">
                  <c:v>0.73166666666666658</c:v>
                </c:pt>
                <c:pt idx="40">
                  <c:v>0.73266666666666669</c:v>
                </c:pt>
                <c:pt idx="41">
                  <c:v>0.73766666666666669</c:v>
                </c:pt>
                <c:pt idx="42">
                  <c:v>0.74533333333333329</c:v>
                </c:pt>
                <c:pt idx="43">
                  <c:v>0.7513333333333333</c:v>
                </c:pt>
                <c:pt idx="44">
                  <c:v>0.75200000000000011</c:v>
                </c:pt>
                <c:pt idx="45">
                  <c:v>0.75033333333333341</c:v>
                </c:pt>
                <c:pt idx="46">
                  <c:v>0.7486666666666667</c:v>
                </c:pt>
                <c:pt idx="47">
                  <c:v>0.75900000000000001</c:v>
                </c:pt>
                <c:pt idx="48">
                  <c:v>0.76266666666666671</c:v>
                </c:pt>
                <c:pt idx="49">
                  <c:v>0.75599999999999989</c:v>
                </c:pt>
                <c:pt idx="50">
                  <c:v>0.74733333333333329</c:v>
                </c:pt>
                <c:pt idx="51">
                  <c:v>0.74199999999999999</c:v>
                </c:pt>
                <c:pt idx="52">
                  <c:v>0.72333333333333327</c:v>
                </c:pt>
                <c:pt idx="53">
                  <c:v>0.69766666666666666</c:v>
                </c:pt>
                <c:pt idx="54">
                  <c:v>0.67066666666666663</c:v>
                </c:pt>
                <c:pt idx="55">
                  <c:v>0.66166666666666674</c:v>
                </c:pt>
                <c:pt idx="56">
                  <c:v>0.65833333333333333</c:v>
                </c:pt>
                <c:pt idx="57">
                  <c:v>0.65300000000000002</c:v>
                </c:pt>
                <c:pt idx="58">
                  <c:v>0.64566666666666672</c:v>
                </c:pt>
                <c:pt idx="59">
                  <c:v>0.64233333333333331</c:v>
                </c:pt>
                <c:pt idx="60">
                  <c:v>0.64333333333333342</c:v>
                </c:pt>
                <c:pt idx="61">
                  <c:v>0.6349999999999999</c:v>
                </c:pt>
                <c:pt idx="62">
                  <c:v>0.628</c:v>
                </c:pt>
                <c:pt idx="63">
                  <c:v>0.62466666666666659</c:v>
                </c:pt>
                <c:pt idx="64">
                  <c:v>0.61866666666666659</c:v>
                </c:pt>
                <c:pt idx="65">
                  <c:v>0.61099999999999999</c:v>
                </c:pt>
                <c:pt idx="66">
                  <c:v>0.60033333333333327</c:v>
                </c:pt>
                <c:pt idx="67">
                  <c:v>0.59</c:v>
                </c:pt>
                <c:pt idx="68">
                  <c:v>0.58799999999999997</c:v>
                </c:pt>
                <c:pt idx="69">
                  <c:v>0.58066666666666666</c:v>
                </c:pt>
                <c:pt idx="70">
                  <c:v>0.58399999999999996</c:v>
                </c:pt>
                <c:pt idx="71">
                  <c:v>0.56533333333333335</c:v>
                </c:pt>
                <c:pt idx="72">
                  <c:v>0.55399999999999994</c:v>
                </c:pt>
                <c:pt idx="73">
                  <c:v>0.55300000000000005</c:v>
                </c:pt>
                <c:pt idx="74">
                  <c:v>0.54666666666666675</c:v>
                </c:pt>
                <c:pt idx="75">
                  <c:v>0.53866666666666674</c:v>
                </c:pt>
                <c:pt idx="76">
                  <c:v>0.54066666666666674</c:v>
                </c:pt>
                <c:pt idx="77">
                  <c:v>0.54733333333333334</c:v>
                </c:pt>
                <c:pt idx="78">
                  <c:v>0.54866666666666675</c:v>
                </c:pt>
                <c:pt idx="79">
                  <c:v>0.55833333333333324</c:v>
                </c:pt>
                <c:pt idx="80">
                  <c:v>0.56866666666666665</c:v>
                </c:pt>
                <c:pt idx="81">
                  <c:v>0.58533333333333337</c:v>
                </c:pt>
                <c:pt idx="82">
                  <c:v>0.59933333333333338</c:v>
                </c:pt>
                <c:pt idx="83">
                  <c:v>0.59066666666666656</c:v>
                </c:pt>
                <c:pt idx="84">
                  <c:v>0.59299999999999997</c:v>
                </c:pt>
                <c:pt idx="85">
                  <c:v>0.60233333333333328</c:v>
                </c:pt>
                <c:pt idx="86">
                  <c:v>0.59433333333333327</c:v>
                </c:pt>
                <c:pt idx="87">
                  <c:v>0.59033333333333327</c:v>
                </c:pt>
                <c:pt idx="88">
                  <c:v>0.83399999999999996</c:v>
                </c:pt>
                <c:pt idx="89">
                  <c:v>0.93233333333333335</c:v>
                </c:pt>
                <c:pt idx="90">
                  <c:v>0.85899999999999999</c:v>
                </c:pt>
                <c:pt idx="91">
                  <c:v>0.78533333333333333</c:v>
                </c:pt>
                <c:pt idx="92">
                  <c:v>0.73966666666666658</c:v>
                </c:pt>
                <c:pt idx="93">
                  <c:v>0.71166666666666656</c:v>
                </c:pt>
                <c:pt idx="94">
                  <c:v>0.68866666666666665</c:v>
                </c:pt>
                <c:pt idx="95">
                  <c:v>0.66666666666666663</c:v>
                </c:pt>
                <c:pt idx="96">
                  <c:v>0.66800000000000004</c:v>
                </c:pt>
                <c:pt idx="97">
                  <c:v>0.67400000000000004</c:v>
                </c:pt>
                <c:pt idx="98">
                  <c:v>0.68</c:v>
                </c:pt>
                <c:pt idx="99">
                  <c:v>0.68866666666666665</c:v>
                </c:pt>
                <c:pt idx="100">
                  <c:v>0.69600000000000006</c:v>
                </c:pt>
                <c:pt idx="101">
                  <c:v>0.69566666666666654</c:v>
                </c:pt>
                <c:pt idx="102">
                  <c:v>0.66433333333333333</c:v>
                </c:pt>
                <c:pt idx="103">
                  <c:v>0.70133333333333336</c:v>
                </c:pt>
                <c:pt idx="104">
                  <c:v>0.77300000000000002</c:v>
                </c:pt>
                <c:pt idx="105">
                  <c:v>0.82133333333333336</c:v>
                </c:pt>
                <c:pt idx="106">
                  <c:v>0.84699999999999998</c:v>
                </c:pt>
                <c:pt idx="107">
                  <c:v>0.85833333333333339</c:v>
                </c:pt>
                <c:pt idx="108">
                  <c:v>0.86399999999999999</c:v>
                </c:pt>
                <c:pt idx="109">
                  <c:v>0.91066666666666674</c:v>
                </c:pt>
                <c:pt idx="110">
                  <c:v>0.93033333333333346</c:v>
                </c:pt>
                <c:pt idx="111">
                  <c:v>0.92966666666666653</c:v>
                </c:pt>
                <c:pt idx="112">
                  <c:v>0.92766666666666664</c:v>
                </c:pt>
                <c:pt idx="113">
                  <c:v>0.92533333333333323</c:v>
                </c:pt>
                <c:pt idx="114">
                  <c:v>0.92266666666666675</c:v>
                </c:pt>
                <c:pt idx="115">
                  <c:v>0.91900000000000004</c:v>
                </c:pt>
                <c:pt idx="116">
                  <c:v>0.91533333333333333</c:v>
                </c:pt>
                <c:pt idx="117">
                  <c:v>0.91133333333333333</c:v>
                </c:pt>
                <c:pt idx="118">
                  <c:v>0.8846666666666666</c:v>
                </c:pt>
                <c:pt idx="119">
                  <c:v>0.8843333333333333</c:v>
                </c:pt>
                <c:pt idx="120">
                  <c:v>0.88733333333333331</c:v>
                </c:pt>
                <c:pt idx="121">
                  <c:v>0.87</c:v>
                </c:pt>
                <c:pt idx="122">
                  <c:v>0.85300000000000009</c:v>
                </c:pt>
                <c:pt idx="123">
                  <c:v>0.84700000000000009</c:v>
                </c:pt>
                <c:pt idx="124">
                  <c:v>0.84399999999999997</c:v>
                </c:pt>
                <c:pt idx="125">
                  <c:v>0.84333333333333327</c:v>
                </c:pt>
                <c:pt idx="126">
                  <c:v>0.84266666666666667</c:v>
                </c:pt>
                <c:pt idx="127">
                  <c:v>0.84233333333333338</c:v>
                </c:pt>
                <c:pt idx="128">
                  <c:v>0.84166666666666667</c:v>
                </c:pt>
                <c:pt idx="129">
                  <c:v>0.84033333333333327</c:v>
                </c:pt>
                <c:pt idx="130">
                  <c:v>0.84</c:v>
                </c:pt>
                <c:pt idx="131">
                  <c:v>0.83933333333333326</c:v>
                </c:pt>
                <c:pt idx="132">
                  <c:v>0.83766666666666667</c:v>
                </c:pt>
                <c:pt idx="133">
                  <c:v>0.83733333333333337</c:v>
                </c:pt>
                <c:pt idx="134">
                  <c:v>0.83599999999999997</c:v>
                </c:pt>
                <c:pt idx="135">
                  <c:v>0.83533333333333337</c:v>
                </c:pt>
                <c:pt idx="136">
                  <c:v>0.83499999999999996</c:v>
                </c:pt>
                <c:pt idx="137">
                  <c:v>0.83100000000000007</c:v>
                </c:pt>
                <c:pt idx="138">
                  <c:v>0.82700000000000007</c:v>
                </c:pt>
                <c:pt idx="139">
                  <c:v>0.82333333333333325</c:v>
                </c:pt>
                <c:pt idx="140">
                  <c:v>0.82266666666666666</c:v>
                </c:pt>
                <c:pt idx="141">
                  <c:v>0.82066666666666677</c:v>
                </c:pt>
                <c:pt idx="142">
                  <c:v>0.81766666666666676</c:v>
                </c:pt>
                <c:pt idx="143">
                  <c:v>0.81700000000000006</c:v>
                </c:pt>
                <c:pt idx="144">
                  <c:v>0.81566666666666665</c:v>
                </c:pt>
                <c:pt idx="145">
                  <c:v>0.81700000000000006</c:v>
                </c:pt>
                <c:pt idx="146">
                  <c:v>0.81400000000000006</c:v>
                </c:pt>
                <c:pt idx="147">
                  <c:v>0.81366666666666676</c:v>
                </c:pt>
                <c:pt idx="148">
                  <c:v>0.81233333333333324</c:v>
                </c:pt>
                <c:pt idx="149">
                  <c:v>0.81</c:v>
                </c:pt>
                <c:pt idx="150">
                  <c:v>0.81033333333333335</c:v>
                </c:pt>
                <c:pt idx="151">
                  <c:v>0.81033333333333335</c:v>
                </c:pt>
                <c:pt idx="152">
                  <c:v>0.81133333333333335</c:v>
                </c:pt>
                <c:pt idx="153">
                  <c:v>0.81133333333333335</c:v>
                </c:pt>
                <c:pt idx="154">
                  <c:v>0.81099999999999994</c:v>
                </c:pt>
                <c:pt idx="155">
                  <c:v>0.79300000000000004</c:v>
                </c:pt>
                <c:pt idx="156">
                  <c:v>0.81400000000000006</c:v>
                </c:pt>
                <c:pt idx="157">
                  <c:v>0.84</c:v>
                </c:pt>
                <c:pt idx="158">
                  <c:v>0.84333333333333338</c:v>
                </c:pt>
                <c:pt idx="159">
                  <c:v>0.82300000000000006</c:v>
                </c:pt>
                <c:pt idx="160">
                  <c:v>0.81</c:v>
                </c:pt>
                <c:pt idx="161">
                  <c:v>0.80500000000000005</c:v>
                </c:pt>
                <c:pt idx="162">
                  <c:v>0.79633333333333323</c:v>
                </c:pt>
                <c:pt idx="163">
                  <c:v>0.79</c:v>
                </c:pt>
                <c:pt idx="164">
                  <c:v>0.78433333333333322</c:v>
                </c:pt>
                <c:pt idx="165">
                  <c:v>0.77700000000000002</c:v>
                </c:pt>
                <c:pt idx="166">
                  <c:v>0.77099999999999991</c:v>
                </c:pt>
                <c:pt idx="167">
                  <c:v>0.7639999999999999</c:v>
                </c:pt>
                <c:pt idx="168">
                  <c:v>0.75700000000000001</c:v>
                </c:pt>
                <c:pt idx="169">
                  <c:v>0.749</c:v>
                </c:pt>
                <c:pt idx="170">
                  <c:v>0.7403333333333334</c:v>
                </c:pt>
                <c:pt idx="171">
                  <c:v>0.72800000000000009</c:v>
                </c:pt>
                <c:pt idx="172">
                  <c:v>0.71699999999999997</c:v>
                </c:pt>
                <c:pt idx="173">
                  <c:v>0.70866666666666667</c:v>
                </c:pt>
                <c:pt idx="174">
                  <c:v>0.70366666666666677</c:v>
                </c:pt>
                <c:pt idx="175">
                  <c:v>0.70133333333333336</c:v>
                </c:pt>
                <c:pt idx="176">
                  <c:v>0.70166666666666666</c:v>
                </c:pt>
                <c:pt idx="177">
                  <c:v>0.69399999999999995</c:v>
                </c:pt>
                <c:pt idx="178">
                  <c:v>0.69133333333333324</c:v>
                </c:pt>
                <c:pt idx="179">
                  <c:v>0.68199999999999994</c:v>
                </c:pt>
                <c:pt idx="180">
                  <c:v>0.67600000000000005</c:v>
                </c:pt>
                <c:pt idx="181">
                  <c:v>0.66433333333333333</c:v>
                </c:pt>
                <c:pt idx="182">
                  <c:v>0.65166666666666673</c:v>
                </c:pt>
                <c:pt idx="183">
                  <c:v>0.65566666666666673</c:v>
                </c:pt>
                <c:pt idx="184">
                  <c:v>0.64400000000000002</c:v>
                </c:pt>
                <c:pt idx="185">
                  <c:v>0.64466666666666672</c:v>
                </c:pt>
                <c:pt idx="186">
                  <c:v>0.64500000000000002</c:v>
                </c:pt>
                <c:pt idx="187">
                  <c:v>0.63666666666666671</c:v>
                </c:pt>
                <c:pt idx="188">
                  <c:v>0.628</c:v>
                </c:pt>
                <c:pt idx="189">
                  <c:v>0.62</c:v>
                </c:pt>
                <c:pt idx="190">
                  <c:v>0.62266666666666659</c:v>
                </c:pt>
                <c:pt idx="191">
                  <c:v>0.63933333333333331</c:v>
                </c:pt>
                <c:pt idx="192">
                  <c:v>0.63833333333333331</c:v>
                </c:pt>
                <c:pt idx="193">
                  <c:v>0.63400000000000001</c:v>
                </c:pt>
                <c:pt idx="194">
                  <c:v>0.63933333333333342</c:v>
                </c:pt>
                <c:pt idx="195">
                  <c:v>0.6286666666666666</c:v>
                </c:pt>
                <c:pt idx="196">
                  <c:v>0.63100000000000001</c:v>
                </c:pt>
                <c:pt idx="197">
                  <c:v>0.63400000000000001</c:v>
                </c:pt>
                <c:pt idx="198">
                  <c:v>0.63833333333333331</c:v>
                </c:pt>
                <c:pt idx="199">
                  <c:v>0.66533333333333333</c:v>
                </c:pt>
                <c:pt idx="200">
                  <c:v>0.70633333333333326</c:v>
                </c:pt>
                <c:pt idx="201">
                  <c:v>0.72733333333333328</c:v>
                </c:pt>
                <c:pt idx="202">
                  <c:v>0.73333333333333339</c:v>
                </c:pt>
                <c:pt idx="203">
                  <c:v>0.73566666666666658</c:v>
                </c:pt>
                <c:pt idx="204">
                  <c:v>0.73733333333333329</c:v>
                </c:pt>
                <c:pt idx="205">
                  <c:v>0.73533333333333328</c:v>
                </c:pt>
                <c:pt idx="206">
                  <c:v>0.73799999999999999</c:v>
                </c:pt>
              </c:numCache>
            </c:numRef>
          </c:yVal>
          <c:smooth val="1"/>
        </c:ser>
        <c:axId val="99328384"/>
        <c:axId val="99008512"/>
      </c:scatterChart>
      <c:valAx>
        <c:axId val="74252288"/>
        <c:scaling>
          <c:orientation val="minMax"/>
          <c:max val="43384.800000000003"/>
          <c:min val="43382.9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</c:title>
        <c:numFmt formatCode="dd\.mm\.yy\ \ \ hh:mm" sourceLinked="1"/>
        <c:tickLblPos val="nextTo"/>
        <c:txPr>
          <a:bodyPr rot="-900000"/>
          <a:lstStyle/>
          <a:p>
            <a:pPr>
              <a:defRPr/>
            </a:pPr>
            <a:endParaRPr lang="de-DE"/>
          </a:p>
        </c:txPr>
        <c:crossAx val="74505216"/>
        <c:crosses val="autoZero"/>
        <c:crossBetween val="midCat"/>
      </c:valAx>
      <c:valAx>
        <c:axId val="745052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</a:t>
                </a:r>
              </a:p>
            </c:rich>
          </c:tx>
          <c:layout/>
        </c:title>
        <c:numFmt formatCode="0.0" sourceLinked="1"/>
        <c:tickLblPos val="nextTo"/>
        <c:crossAx val="74252288"/>
        <c:crosses val="autoZero"/>
        <c:crossBetween val="midCat"/>
      </c:valAx>
      <c:valAx>
        <c:axId val="99008512"/>
        <c:scaling>
          <c:orientation val="minMax"/>
          <c:max val="1.1000000000000001"/>
          <c:min val="0.30000000000000004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Humidity</a:t>
                </a:r>
              </a:p>
            </c:rich>
          </c:tx>
          <c:layout/>
        </c:title>
        <c:numFmt formatCode="0.0%" sourceLinked="1"/>
        <c:tickLblPos val="nextTo"/>
        <c:crossAx val="99328384"/>
        <c:crosses val="max"/>
        <c:crossBetween val="midCat"/>
      </c:valAx>
      <c:valAx>
        <c:axId val="99328384"/>
        <c:scaling>
          <c:orientation val="minMax"/>
        </c:scaling>
        <c:delete val="1"/>
        <c:axPos val="b"/>
        <c:numFmt formatCode="dd\.mm\.yy\ \ \ hh:mm" sourceLinked="1"/>
        <c:tickLblPos val="none"/>
        <c:crossAx val="99008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9.6459295502725681E-2"/>
          <c:y val="0.56558511408130618"/>
          <c:w val="5.3180127574197454E-2"/>
          <c:h val="8.9830667589800156E-2"/>
        </c:manualLayout>
      </c:layout>
      <c:overlay val="1"/>
      <c:spPr>
        <a:solidFill>
          <a:sysClr val="window" lastClr="FFFFFF">
            <a:lumMod val="85000"/>
          </a:sysClr>
        </a:solidFill>
      </c:spPr>
    </c:legend>
    <c:plotVisOnly val="1"/>
  </c:chart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777240</xdr:colOff>
      <xdr:row>26</xdr:row>
      <xdr:rowOff>167640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15</xdr:col>
      <xdr:colOff>784860</xdr:colOff>
      <xdr:row>55</xdr:row>
      <xdr:rowOff>175260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15</xdr:col>
      <xdr:colOff>777240</xdr:colOff>
      <xdr:row>84</xdr:row>
      <xdr:rowOff>175260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86</xdr:row>
      <xdr:rowOff>22860</xdr:rowOff>
    </xdr:from>
    <xdr:to>
      <xdr:col>16</xdr:col>
      <xdr:colOff>0</xdr:colOff>
      <xdr:row>114</xdr:row>
      <xdr:rowOff>15240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U211"/>
  <sheetViews>
    <sheetView tabSelected="1" topLeftCell="B1" workbookViewId="0">
      <selection activeCell="G8" sqref="G8"/>
    </sheetView>
  </sheetViews>
  <sheetFormatPr baseColWidth="10" defaultRowHeight="14.4"/>
  <cols>
    <col min="1" max="1" width="11.5546875" hidden="1" customWidth="1"/>
    <col min="2" max="2" width="16.88671875" customWidth="1"/>
  </cols>
  <sheetData>
    <row r="1" spans="1:20" ht="15" thickBot="1">
      <c r="A1" s="63" t="s">
        <v>0</v>
      </c>
      <c r="B1" s="64" t="s">
        <v>209</v>
      </c>
      <c r="C1" s="65" t="s">
        <v>210</v>
      </c>
      <c r="D1" s="66" t="s">
        <v>211</v>
      </c>
      <c r="E1" s="67" t="s">
        <v>212</v>
      </c>
      <c r="F1" s="68" t="s">
        <v>213</v>
      </c>
      <c r="G1" s="69" t="s">
        <v>214</v>
      </c>
      <c r="H1" s="70" t="s">
        <v>215</v>
      </c>
      <c r="I1" s="71" t="s">
        <v>216</v>
      </c>
      <c r="J1" s="65" t="s">
        <v>217</v>
      </c>
      <c r="K1" s="66" t="s">
        <v>218</v>
      </c>
      <c r="L1" s="67" t="s">
        <v>218</v>
      </c>
      <c r="M1" s="72" t="s">
        <v>219</v>
      </c>
      <c r="N1" s="72" t="s">
        <v>220</v>
      </c>
      <c r="O1" s="65" t="s">
        <v>221</v>
      </c>
      <c r="P1" s="66" t="s">
        <v>222</v>
      </c>
      <c r="Q1" s="73" t="s">
        <v>223</v>
      </c>
      <c r="R1" s="65" t="s">
        <v>224</v>
      </c>
      <c r="S1" s="66" t="s">
        <v>225</v>
      </c>
      <c r="T1" s="67" t="s">
        <v>226</v>
      </c>
    </row>
    <row r="2" spans="1:20" ht="15" thickTop="1">
      <c r="A2" s="24" t="s">
        <v>1</v>
      </c>
      <c r="B2" s="74">
        <v>43382.921539351853</v>
      </c>
      <c r="C2" s="27">
        <v>17.7</v>
      </c>
      <c r="D2" s="12">
        <v>17.899999999999999</v>
      </c>
      <c r="E2" s="28">
        <v>17.600000000000001</v>
      </c>
      <c r="F2" s="33">
        <v>0.746</v>
      </c>
      <c r="G2" s="13">
        <v>0.72499999999999998</v>
      </c>
      <c r="H2" s="34">
        <v>0.71899999999999997</v>
      </c>
      <c r="I2" s="39">
        <f>100000/AVERAGE(J2:L2)-1</f>
        <v>0</v>
      </c>
      <c r="J2" s="27">
        <v>100000</v>
      </c>
      <c r="K2" s="12">
        <v>100000</v>
      </c>
      <c r="L2" s="28">
        <v>100000</v>
      </c>
      <c r="M2" s="39">
        <f>AVERAGE(C2:E2)</f>
        <v>17.733333333333331</v>
      </c>
      <c r="N2" s="43">
        <f>AVERAGE(F2:H2)</f>
        <v>0.73</v>
      </c>
      <c r="O2" s="47">
        <f>M2-C2</f>
        <v>3.3333333333331439E-2</v>
      </c>
      <c r="P2" s="22">
        <f>M2-D2</f>
        <v>-0.16666666666666785</v>
      </c>
      <c r="Q2" s="48">
        <f>M2-E2</f>
        <v>0.13333333333332931</v>
      </c>
      <c r="R2" s="55">
        <f>N2-F2</f>
        <v>-1.6000000000000014E-2</v>
      </c>
      <c r="S2" s="23">
        <f t="shared" ref="S2:S65" si="0">N2-G2</f>
        <v>5.0000000000000044E-3</v>
      </c>
      <c r="T2" s="56">
        <f>N2-H2</f>
        <v>1.100000000000001E-2</v>
      </c>
    </row>
    <row r="3" spans="1:20">
      <c r="A3" s="25" t="s">
        <v>2</v>
      </c>
      <c r="B3" s="75">
        <v>43382.931192129632</v>
      </c>
      <c r="C3" s="29">
        <v>17.7</v>
      </c>
      <c r="D3" s="14">
        <v>17.8</v>
      </c>
      <c r="E3" s="30">
        <v>17.600000000000001</v>
      </c>
      <c r="F3" s="35">
        <v>0.746</v>
      </c>
      <c r="G3" s="15">
        <v>0.72699999999999998</v>
      </c>
      <c r="H3" s="36">
        <v>0.71899999999999997</v>
      </c>
      <c r="I3" s="40">
        <f t="shared" ref="I3:I66" si="1">100000/AVERAGE(J3:L3)-1</f>
        <v>0</v>
      </c>
      <c r="J3" s="29">
        <v>100000</v>
      </c>
      <c r="K3" s="14">
        <v>100000</v>
      </c>
      <c r="L3" s="30">
        <v>100000</v>
      </c>
      <c r="M3" s="40">
        <f t="shared" ref="M3:M66" si="2">AVERAGE(C3:E3)</f>
        <v>17.7</v>
      </c>
      <c r="N3" s="44">
        <f t="shared" ref="N3:N66" si="3">AVERAGE(F3:H3)</f>
        <v>0.73066666666666658</v>
      </c>
      <c r="O3" s="49">
        <f t="shared" ref="O3:O66" si="4">M3-C3</f>
        <v>0</v>
      </c>
      <c r="P3" s="16">
        <f t="shared" ref="P3:P66" si="5">M3-D3</f>
        <v>-0.10000000000000142</v>
      </c>
      <c r="Q3" s="50">
        <f t="shared" ref="Q3:Q66" si="6">M3-E3</f>
        <v>9.9999999999997868E-2</v>
      </c>
      <c r="R3" s="57">
        <f t="shared" ref="R3:R66" si="7">N3-F3</f>
        <v>-1.5333333333333421E-2</v>
      </c>
      <c r="S3" s="17">
        <f t="shared" si="0"/>
        <v>3.6666666666665959E-3</v>
      </c>
      <c r="T3" s="58">
        <f t="shared" ref="T3:T66" si="8">N3-H3</f>
        <v>1.1666666666666603E-2</v>
      </c>
    </row>
    <row r="4" spans="1:20">
      <c r="A4" s="25" t="s">
        <v>3</v>
      </c>
      <c r="B4" s="75">
        <v>43382.940023148149</v>
      </c>
      <c r="C4" s="29">
        <v>17.5</v>
      </c>
      <c r="D4" s="14">
        <v>17.600000000000001</v>
      </c>
      <c r="E4" s="30">
        <v>17.399999999999999</v>
      </c>
      <c r="F4" s="35">
        <v>0.748</v>
      </c>
      <c r="G4" s="15">
        <v>0.73199999999999998</v>
      </c>
      <c r="H4" s="36">
        <v>0.72099999999999997</v>
      </c>
      <c r="I4" s="40">
        <f t="shared" si="1"/>
        <v>0</v>
      </c>
      <c r="J4" s="29">
        <v>100000</v>
      </c>
      <c r="K4" s="14">
        <v>100000</v>
      </c>
      <c r="L4" s="30">
        <v>100000</v>
      </c>
      <c r="M4" s="40">
        <f t="shared" si="2"/>
        <v>17.5</v>
      </c>
      <c r="N4" s="44">
        <f t="shared" si="3"/>
        <v>0.73366666666666669</v>
      </c>
      <c r="O4" s="49">
        <f t="shared" si="4"/>
        <v>0</v>
      </c>
      <c r="P4" s="16">
        <f t="shared" si="5"/>
        <v>-0.10000000000000142</v>
      </c>
      <c r="Q4" s="50">
        <f t="shared" si="6"/>
        <v>0.10000000000000142</v>
      </c>
      <c r="R4" s="57">
        <f t="shared" si="7"/>
        <v>-1.4333333333333309E-2</v>
      </c>
      <c r="S4" s="17">
        <f t="shared" si="0"/>
        <v>1.6666666666667052E-3</v>
      </c>
      <c r="T4" s="58">
        <f t="shared" si="8"/>
        <v>1.2666666666666715E-2</v>
      </c>
    </row>
    <row r="5" spans="1:20">
      <c r="A5" s="25" t="s">
        <v>4</v>
      </c>
      <c r="B5" s="75">
        <v>43382.948854166665</v>
      </c>
      <c r="C5" s="29">
        <v>17.399999999999999</v>
      </c>
      <c r="D5" s="14">
        <v>17.5</v>
      </c>
      <c r="E5" s="30">
        <v>17.399999999999999</v>
      </c>
      <c r="F5" s="35">
        <v>0.749</v>
      </c>
      <c r="G5" s="15">
        <v>0.73299999999999998</v>
      </c>
      <c r="H5" s="36">
        <v>0.72099999999999997</v>
      </c>
      <c r="I5" s="40">
        <f t="shared" si="1"/>
        <v>0</v>
      </c>
      <c r="J5" s="29">
        <v>100000</v>
      </c>
      <c r="K5" s="14">
        <v>100000</v>
      </c>
      <c r="L5" s="30">
        <v>100000</v>
      </c>
      <c r="M5" s="40">
        <f t="shared" si="2"/>
        <v>17.433333333333334</v>
      </c>
      <c r="N5" s="44">
        <f t="shared" si="3"/>
        <v>0.73433333333333328</v>
      </c>
      <c r="O5" s="49">
        <f t="shared" si="4"/>
        <v>3.3333333333334991E-2</v>
      </c>
      <c r="P5" s="16">
        <f t="shared" si="5"/>
        <v>-6.666666666666643E-2</v>
      </c>
      <c r="Q5" s="50">
        <f t="shared" si="6"/>
        <v>3.3333333333334991E-2</v>
      </c>
      <c r="R5" s="57">
        <f t="shared" si="7"/>
        <v>-1.4666666666666717E-2</v>
      </c>
      <c r="S5" s="17">
        <f t="shared" si="0"/>
        <v>1.3333333333332975E-3</v>
      </c>
      <c r="T5" s="58">
        <f t="shared" si="8"/>
        <v>1.3333333333333308E-2</v>
      </c>
    </row>
    <row r="6" spans="1:20">
      <c r="A6" s="25" t="s">
        <v>5</v>
      </c>
      <c r="B6" s="75">
        <v>43382.957708333335</v>
      </c>
      <c r="C6" s="29">
        <v>17.399999999999999</v>
      </c>
      <c r="D6" s="14">
        <v>17.399999999999999</v>
      </c>
      <c r="E6" s="30">
        <v>17.3</v>
      </c>
      <c r="F6" s="35">
        <v>0.75</v>
      </c>
      <c r="G6" s="15">
        <v>0.73399999999999999</v>
      </c>
      <c r="H6" s="36">
        <v>0.72199999999999998</v>
      </c>
      <c r="I6" s="40">
        <f t="shared" si="1"/>
        <v>0</v>
      </c>
      <c r="J6" s="29">
        <v>100000</v>
      </c>
      <c r="K6" s="14">
        <v>100000</v>
      </c>
      <c r="L6" s="30">
        <v>100000</v>
      </c>
      <c r="M6" s="40">
        <f t="shared" si="2"/>
        <v>17.366666666666664</v>
      </c>
      <c r="N6" s="44">
        <f t="shared" si="3"/>
        <v>0.73533333333333328</v>
      </c>
      <c r="O6" s="49">
        <f t="shared" si="4"/>
        <v>-3.3333333333334991E-2</v>
      </c>
      <c r="P6" s="16">
        <f t="shared" si="5"/>
        <v>-3.3333333333334991E-2</v>
      </c>
      <c r="Q6" s="50">
        <f t="shared" si="6"/>
        <v>6.6666666666662877E-2</v>
      </c>
      <c r="R6" s="57">
        <f t="shared" si="7"/>
        <v>-1.4666666666666717E-2</v>
      </c>
      <c r="S6" s="17">
        <f t="shared" si="0"/>
        <v>1.3333333333332975E-3</v>
      </c>
      <c r="T6" s="58">
        <f t="shared" si="8"/>
        <v>1.3333333333333308E-2</v>
      </c>
    </row>
    <row r="7" spans="1:20">
      <c r="A7" s="25" t="s">
        <v>6</v>
      </c>
      <c r="B7" s="75">
        <v>43382.966539351852</v>
      </c>
      <c r="C7" s="29">
        <v>17.3</v>
      </c>
      <c r="D7" s="14">
        <v>17.399999999999999</v>
      </c>
      <c r="E7" s="30">
        <v>17.3</v>
      </c>
      <c r="F7" s="35">
        <v>0.75</v>
      </c>
      <c r="G7" s="15">
        <v>0.73499999999999999</v>
      </c>
      <c r="H7" s="36">
        <v>0.72199999999999998</v>
      </c>
      <c r="I7" s="40">
        <f t="shared" si="1"/>
        <v>0</v>
      </c>
      <c r="J7" s="29">
        <v>100000</v>
      </c>
      <c r="K7" s="14">
        <v>100000</v>
      </c>
      <c r="L7" s="30">
        <v>100000</v>
      </c>
      <c r="M7" s="40">
        <f t="shared" si="2"/>
        <v>17.333333333333332</v>
      </c>
      <c r="N7" s="44">
        <f t="shared" si="3"/>
        <v>0.73566666666666658</v>
      </c>
      <c r="O7" s="49">
        <f t="shared" si="4"/>
        <v>3.3333333333331439E-2</v>
      </c>
      <c r="P7" s="16">
        <f t="shared" si="5"/>
        <v>-6.666666666666643E-2</v>
      </c>
      <c r="Q7" s="50">
        <f t="shared" si="6"/>
        <v>3.3333333333331439E-2</v>
      </c>
      <c r="R7" s="57">
        <f t="shared" si="7"/>
        <v>-1.433333333333342E-2</v>
      </c>
      <c r="S7" s="17">
        <f t="shared" si="0"/>
        <v>6.6666666666659324E-4</v>
      </c>
      <c r="T7" s="58">
        <f t="shared" si="8"/>
        <v>1.3666666666666605E-2</v>
      </c>
    </row>
    <row r="8" spans="1:20">
      <c r="A8" s="25" t="s">
        <v>7</v>
      </c>
      <c r="B8" s="75">
        <v>43382.975358796299</v>
      </c>
      <c r="C8" s="29">
        <v>17.3</v>
      </c>
      <c r="D8" s="14">
        <v>17.3</v>
      </c>
      <c r="E8" s="30">
        <v>17.2</v>
      </c>
      <c r="F8" s="35">
        <v>0.75</v>
      </c>
      <c r="G8" s="15">
        <v>0.73499999999999999</v>
      </c>
      <c r="H8" s="36">
        <v>0.72099999999999997</v>
      </c>
      <c r="I8" s="40">
        <f t="shared" si="1"/>
        <v>0</v>
      </c>
      <c r="J8" s="29">
        <v>100000</v>
      </c>
      <c r="K8" s="14">
        <v>100000</v>
      </c>
      <c r="L8" s="30">
        <v>100000</v>
      </c>
      <c r="M8" s="40">
        <f t="shared" si="2"/>
        <v>17.266666666666666</v>
      </c>
      <c r="N8" s="44">
        <f t="shared" si="3"/>
        <v>0.73533333333333328</v>
      </c>
      <c r="O8" s="49">
        <f t="shared" si="4"/>
        <v>-3.3333333333334991E-2</v>
      </c>
      <c r="P8" s="16">
        <f t="shared" si="5"/>
        <v>-3.3333333333334991E-2</v>
      </c>
      <c r="Q8" s="50">
        <f t="shared" si="6"/>
        <v>6.666666666666643E-2</v>
      </c>
      <c r="R8" s="57">
        <f t="shared" si="7"/>
        <v>-1.4666666666666717E-2</v>
      </c>
      <c r="S8" s="17">
        <f t="shared" si="0"/>
        <v>3.3333333333329662E-4</v>
      </c>
      <c r="T8" s="58">
        <f t="shared" si="8"/>
        <v>1.4333333333333309E-2</v>
      </c>
    </row>
    <row r="9" spans="1:20">
      <c r="A9" s="25" t="s">
        <v>8</v>
      </c>
      <c r="B9" s="75">
        <v>43382.984189814815</v>
      </c>
      <c r="C9" s="29">
        <v>17.2</v>
      </c>
      <c r="D9" s="14">
        <v>17.3</v>
      </c>
      <c r="E9" s="30">
        <v>17.2</v>
      </c>
      <c r="F9" s="35">
        <v>0.751</v>
      </c>
      <c r="G9" s="15">
        <v>0.73599999999999999</v>
      </c>
      <c r="H9" s="36">
        <v>0.72199999999999998</v>
      </c>
      <c r="I9" s="40">
        <f t="shared" si="1"/>
        <v>0</v>
      </c>
      <c r="J9" s="29">
        <v>100000</v>
      </c>
      <c r="K9" s="14">
        <v>100000</v>
      </c>
      <c r="L9" s="30">
        <v>100000</v>
      </c>
      <c r="M9" s="40">
        <f t="shared" si="2"/>
        <v>17.233333333333334</v>
      </c>
      <c r="N9" s="44">
        <f t="shared" si="3"/>
        <v>0.7363333333333334</v>
      </c>
      <c r="O9" s="49">
        <f t="shared" si="4"/>
        <v>3.3333333333334991E-2</v>
      </c>
      <c r="P9" s="16">
        <f t="shared" si="5"/>
        <v>-6.666666666666643E-2</v>
      </c>
      <c r="Q9" s="50">
        <f t="shared" si="6"/>
        <v>3.3333333333334991E-2</v>
      </c>
      <c r="R9" s="57">
        <f t="shared" si="7"/>
        <v>-1.4666666666666606E-2</v>
      </c>
      <c r="S9" s="17">
        <f t="shared" si="0"/>
        <v>3.3333333333340764E-4</v>
      </c>
      <c r="T9" s="58">
        <f t="shared" si="8"/>
        <v>1.433333333333342E-2</v>
      </c>
    </row>
    <row r="10" spans="1:20">
      <c r="A10" s="25" t="s">
        <v>9</v>
      </c>
      <c r="B10" s="75">
        <v>43382.993020833332</v>
      </c>
      <c r="C10" s="29">
        <v>17.2</v>
      </c>
      <c r="D10" s="14">
        <v>17.2</v>
      </c>
      <c r="E10" s="30">
        <v>17.100000000000001</v>
      </c>
      <c r="F10" s="35">
        <v>0.75</v>
      </c>
      <c r="G10" s="15">
        <v>0.73599999999999999</v>
      </c>
      <c r="H10" s="36">
        <v>0.72199999999999998</v>
      </c>
      <c r="I10" s="40">
        <f t="shared" si="1"/>
        <v>0</v>
      </c>
      <c r="J10" s="29">
        <v>100000</v>
      </c>
      <c r="K10" s="14">
        <v>100000</v>
      </c>
      <c r="L10" s="30">
        <v>100000</v>
      </c>
      <c r="M10" s="40">
        <f t="shared" si="2"/>
        <v>17.166666666666668</v>
      </c>
      <c r="N10" s="44">
        <f t="shared" si="3"/>
        <v>0.7360000000000001</v>
      </c>
      <c r="O10" s="49">
        <f t="shared" si="4"/>
        <v>-3.3333333333331439E-2</v>
      </c>
      <c r="P10" s="16">
        <f t="shared" si="5"/>
        <v>-3.3333333333331439E-2</v>
      </c>
      <c r="Q10" s="50">
        <f t="shared" si="6"/>
        <v>6.666666666666643E-2</v>
      </c>
      <c r="R10" s="57">
        <f t="shared" si="7"/>
        <v>-1.3999999999999901E-2</v>
      </c>
      <c r="S10" s="17">
        <f t="shared" si="0"/>
        <v>0</v>
      </c>
      <c r="T10" s="58">
        <f t="shared" si="8"/>
        <v>1.4000000000000123E-2</v>
      </c>
    </row>
    <row r="11" spans="1:20">
      <c r="A11" s="25" t="s">
        <v>10</v>
      </c>
      <c r="B11" s="75">
        <v>43383.001875000002</v>
      </c>
      <c r="C11" s="29">
        <v>17.2</v>
      </c>
      <c r="D11" s="14">
        <v>17.2</v>
      </c>
      <c r="E11" s="30">
        <v>17.100000000000001</v>
      </c>
      <c r="F11" s="35">
        <v>0.751</v>
      </c>
      <c r="G11" s="15">
        <v>0.73599999999999999</v>
      </c>
      <c r="H11" s="36">
        <v>0.72199999999999998</v>
      </c>
      <c r="I11" s="40">
        <f t="shared" si="1"/>
        <v>0</v>
      </c>
      <c r="J11" s="29">
        <v>100000</v>
      </c>
      <c r="K11" s="14">
        <v>100000</v>
      </c>
      <c r="L11" s="30">
        <v>100000</v>
      </c>
      <c r="M11" s="40">
        <f t="shared" si="2"/>
        <v>17.166666666666668</v>
      </c>
      <c r="N11" s="44">
        <f t="shared" si="3"/>
        <v>0.7363333333333334</v>
      </c>
      <c r="O11" s="49">
        <f t="shared" si="4"/>
        <v>-3.3333333333331439E-2</v>
      </c>
      <c r="P11" s="16">
        <f t="shared" si="5"/>
        <v>-3.3333333333331439E-2</v>
      </c>
      <c r="Q11" s="50">
        <f t="shared" si="6"/>
        <v>6.666666666666643E-2</v>
      </c>
      <c r="R11" s="57">
        <f t="shared" si="7"/>
        <v>-1.4666666666666606E-2</v>
      </c>
      <c r="S11" s="17">
        <f t="shared" si="0"/>
        <v>3.3333333333340764E-4</v>
      </c>
      <c r="T11" s="58">
        <f t="shared" si="8"/>
        <v>1.433333333333342E-2</v>
      </c>
    </row>
    <row r="12" spans="1:20">
      <c r="A12" s="25" t="s">
        <v>11</v>
      </c>
      <c r="B12" s="75">
        <v>43383.010706018518</v>
      </c>
      <c r="C12" s="29">
        <v>17.2</v>
      </c>
      <c r="D12" s="14">
        <v>17.2</v>
      </c>
      <c r="E12" s="30">
        <v>17.100000000000001</v>
      </c>
      <c r="F12" s="35">
        <v>0.751</v>
      </c>
      <c r="G12" s="15">
        <v>0.73599999999999999</v>
      </c>
      <c r="H12" s="36">
        <v>0.72199999999999998</v>
      </c>
      <c r="I12" s="40">
        <f t="shared" si="1"/>
        <v>0</v>
      </c>
      <c r="J12" s="29">
        <v>100000</v>
      </c>
      <c r="K12" s="14">
        <v>100000</v>
      </c>
      <c r="L12" s="30">
        <v>100000</v>
      </c>
      <c r="M12" s="40">
        <f t="shared" si="2"/>
        <v>17.166666666666668</v>
      </c>
      <c r="N12" s="44">
        <f t="shared" si="3"/>
        <v>0.7363333333333334</v>
      </c>
      <c r="O12" s="49">
        <f t="shared" si="4"/>
        <v>-3.3333333333331439E-2</v>
      </c>
      <c r="P12" s="16">
        <f t="shared" si="5"/>
        <v>-3.3333333333331439E-2</v>
      </c>
      <c r="Q12" s="50">
        <f t="shared" si="6"/>
        <v>6.666666666666643E-2</v>
      </c>
      <c r="R12" s="57">
        <f t="shared" si="7"/>
        <v>-1.4666666666666606E-2</v>
      </c>
      <c r="S12" s="17">
        <f t="shared" si="0"/>
        <v>3.3333333333340764E-4</v>
      </c>
      <c r="T12" s="58">
        <f t="shared" si="8"/>
        <v>1.433333333333342E-2</v>
      </c>
    </row>
    <row r="13" spans="1:20">
      <c r="A13" s="25" t="s">
        <v>12</v>
      </c>
      <c r="B13" s="75">
        <v>43383.019537037035</v>
      </c>
      <c r="C13" s="29">
        <v>17.100000000000001</v>
      </c>
      <c r="D13" s="14">
        <v>17.2</v>
      </c>
      <c r="E13" s="30">
        <v>17.100000000000001</v>
      </c>
      <c r="F13" s="35">
        <v>0.75</v>
      </c>
      <c r="G13" s="15">
        <v>0.73599999999999999</v>
      </c>
      <c r="H13" s="36">
        <v>0.72099999999999997</v>
      </c>
      <c r="I13" s="40">
        <f t="shared" si="1"/>
        <v>0</v>
      </c>
      <c r="J13" s="29">
        <v>100000</v>
      </c>
      <c r="K13" s="14">
        <v>100000</v>
      </c>
      <c r="L13" s="30">
        <v>100000</v>
      </c>
      <c r="M13" s="40">
        <f t="shared" si="2"/>
        <v>17.133333333333333</v>
      </c>
      <c r="N13" s="44">
        <f t="shared" si="3"/>
        <v>0.73566666666666658</v>
      </c>
      <c r="O13" s="49">
        <f t="shared" si="4"/>
        <v>3.3333333333331439E-2</v>
      </c>
      <c r="P13" s="16">
        <f t="shared" si="5"/>
        <v>-6.666666666666643E-2</v>
      </c>
      <c r="Q13" s="50">
        <f t="shared" si="6"/>
        <v>3.3333333333331439E-2</v>
      </c>
      <c r="R13" s="57">
        <f t="shared" si="7"/>
        <v>-1.433333333333342E-2</v>
      </c>
      <c r="S13" s="17">
        <f t="shared" si="0"/>
        <v>-3.3333333333340764E-4</v>
      </c>
      <c r="T13" s="58">
        <f t="shared" si="8"/>
        <v>1.4666666666666606E-2</v>
      </c>
    </row>
    <row r="14" spans="1:20">
      <c r="A14" s="25" t="s">
        <v>13</v>
      </c>
      <c r="B14" s="75">
        <v>43383.028356481482</v>
      </c>
      <c r="C14" s="29">
        <v>17.100000000000001</v>
      </c>
      <c r="D14" s="14">
        <v>17.100000000000001</v>
      </c>
      <c r="E14" s="30">
        <v>17.100000000000001</v>
      </c>
      <c r="F14" s="35">
        <v>0.75</v>
      </c>
      <c r="G14" s="15">
        <v>0.73599999999999999</v>
      </c>
      <c r="H14" s="36">
        <v>0.72099999999999997</v>
      </c>
      <c r="I14" s="40">
        <f t="shared" si="1"/>
        <v>0</v>
      </c>
      <c r="J14" s="29">
        <v>100000</v>
      </c>
      <c r="K14" s="14">
        <v>100000</v>
      </c>
      <c r="L14" s="30">
        <v>100000</v>
      </c>
      <c r="M14" s="40">
        <f t="shared" si="2"/>
        <v>17.100000000000001</v>
      </c>
      <c r="N14" s="44">
        <f t="shared" si="3"/>
        <v>0.73566666666666658</v>
      </c>
      <c r="O14" s="49">
        <f t="shared" si="4"/>
        <v>0</v>
      </c>
      <c r="P14" s="16">
        <f t="shared" si="5"/>
        <v>0</v>
      </c>
      <c r="Q14" s="50">
        <f t="shared" si="6"/>
        <v>0</v>
      </c>
      <c r="R14" s="57">
        <f t="shared" si="7"/>
        <v>-1.433333333333342E-2</v>
      </c>
      <c r="S14" s="17">
        <f t="shared" si="0"/>
        <v>-3.3333333333340764E-4</v>
      </c>
      <c r="T14" s="58">
        <f t="shared" si="8"/>
        <v>1.4666666666666606E-2</v>
      </c>
    </row>
    <row r="15" spans="1:20">
      <c r="A15" s="25" t="s">
        <v>14</v>
      </c>
      <c r="B15" s="75">
        <v>43383.037222222221</v>
      </c>
      <c r="C15" s="29">
        <v>17.100000000000001</v>
      </c>
      <c r="D15" s="14">
        <v>17.100000000000001</v>
      </c>
      <c r="E15" s="30">
        <v>17</v>
      </c>
      <c r="F15" s="35">
        <v>0.75</v>
      </c>
      <c r="G15" s="15">
        <v>0.73599999999999999</v>
      </c>
      <c r="H15" s="36">
        <v>0.72099999999999997</v>
      </c>
      <c r="I15" s="40">
        <f t="shared" si="1"/>
        <v>0</v>
      </c>
      <c r="J15" s="29">
        <v>100000</v>
      </c>
      <c r="K15" s="14">
        <v>100000</v>
      </c>
      <c r="L15" s="30">
        <v>100000</v>
      </c>
      <c r="M15" s="40">
        <f t="shared" si="2"/>
        <v>17.066666666666666</v>
      </c>
      <c r="N15" s="44">
        <f t="shared" si="3"/>
        <v>0.73566666666666658</v>
      </c>
      <c r="O15" s="49">
        <f t="shared" si="4"/>
        <v>-3.3333333333334991E-2</v>
      </c>
      <c r="P15" s="16">
        <f t="shared" si="5"/>
        <v>-3.3333333333334991E-2</v>
      </c>
      <c r="Q15" s="50">
        <f t="shared" si="6"/>
        <v>6.666666666666643E-2</v>
      </c>
      <c r="R15" s="57">
        <f t="shared" si="7"/>
        <v>-1.433333333333342E-2</v>
      </c>
      <c r="S15" s="17">
        <f t="shared" si="0"/>
        <v>-3.3333333333340764E-4</v>
      </c>
      <c r="T15" s="58">
        <f t="shared" si="8"/>
        <v>1.4666666666666606E-2</v>
      </c>
    </row>
    <row r="16" spans="1:20">
      <c r="A16" s="25" t="s">
        <v>15</v>
      </c>
      <c r="B16" s="75">
        <v>43383.046053240738</v>
      </c>
      <c r="C16" s="29">
        <v>17.100000000000001</v>
      </c>
      <c r="D16" s="14">
        <v>17.100000000000001</v>
      </c>
      <c r="E16" s="30">
        <v>17</v>
      </c>
      <c r="F16" s="35">
        <v>0.75</v>
      </c>
      <c r="G16" s="15">
        <v>0.73599999999999999</v>
      </c>
      <c r="H16" s="36">
        <v>0.72099999999999997</v>
      </c>
      <c r="I16" s="40">
        <f t="shared" si="1"/>
        <v>0</v>
      </c>
      <c r="J16" s="29">
        <v>100000</v>
      </c>
      <c r="K16" s="14">
        <v>100000</v>
      </c>
      <c r="L16" s="30">
        <v>100000</v>
      </c>
      <c r="M16" s="40">
        <f t="shared" si="2"/>
        <v>17.066666666666666</v>
      </c>
      <c r="N16" s="44">
        <f t="shared" si="3"/>
        <v>0.73566666666666658</v>
      </c>
      <c r="O16" s="49">
        <f t="shared" si="4"/>
        <v>-3.3333333333334991E-2</v>
      </c>
      <c r="P16" s="16">
        <f t="shared" si="5"/>
        <v>-3.3333333333334991E-2</v>
      </c>
      <c r="Q16" s="50">
        <f t="shared" si="6"/>
        <v>6.666666666666643E-2</v>
      </c>
      <c r="R16" s="57">
        <f t="shared" si="7"/>
        <v>-1.433333333333342E-2</v>
      </c>
      <c r="S16" s="17">
        <f t="shared" si="0"/>
        <v>-3.3333333333340764E-4</v>
      </c>
      <c r="T16" s="58">
        <f t="shared" si="8"/>
        <v>1.4666666666666606E-2</v>
      </c>
    </row>
    <row r="17" spans="1:20">
      <c r="A17" s="25" t="s">
        <v>16</v>
      </c>
      <c r="B17" s="75">
        <v>43383.054872685185</v>
      </c>
      <c r="C17" s="29">
        <v>17</v>
      </c>
      <c r="D17" s="14">
        <v>17.100000000000001</v>
      </c>
      <c r="E17" s="30">
        <v>17</v>
      </c>
      <c r="F17" s="35">
        <v>0.749</v>
      </c>
      <c r="G17" s="15">
        <v>0.73599999999999999</v>
      </c>
      <c r="H17" s="36">
        <v>0.72099999999999997</v>
      </c>
      <c r="I17" s="40">
        <f t="shared" si="1"/>
        <v>0</v>
      </c>
      <c r="J17" s="29">
        <v>100000</v>
      </c>
      <c r="K17" s="14">
        <v>100000</v>
      </c>
      <c r="L17" s="30">
        <v>100000</v>
      </c>
      <c r="M17" s="40">
        <f t="shared" si="2"/>
        <v>17.033333333333335</v>
      </c>
      <c r="N17" s="44">
        <f t="shared" si="3"/>
        <v>0.73533333333333328</v>
      </c>
      <c r="O17" s="49">
        <f t="shared" si="4"/>
        <v>3.3333333333334991E-2</v>
      </c>
      <c r="P17" s="16">
        <f t="shared" si="5"/>
        <v>-6.666666666666643E-2</v>
      </c>
      <c r="Q17" s="50">
        <f t="shared" si="6"/>
        <v>3.3333333333334991E-2</v>
      </c>
      <c r="R17" s="57">
        <f t="shared" si="7"/>
        <v>-1.3666666666666716E-2</v>
      </c>
      <c r="S17" s="17">
        <f t="shared" si="0"/>
        <v>-6.6666666666670427E-4</v>
      </c>
      <c r="T17" s="58">
        <f t="shared" si="8"/>
        <v>1.4333333333333309E-2</v>
      </c>
    </row>
    <row r="18" spans="1:20">
      <c r="A18" s="25" t="s">
        <v>17</v>
      </c>
      <c r="B18" s="75">
        <v>43383.063703703701</v>
      </c>
      <c r="C18" s="29">
        <v>17</v>
      </c>
      <c r="D18" s="14">
        <v>17.100000000000001</v>
      </c>
      <c r="E18" s="30">
        <v>17</v>
      </c>
      <c r="F18" s="35">
        <v>0.748</v>
      </c>
      <c r="G18" s="15">
        <v>0.73499999999999999</v>
      </c>
      <c r="H18" s="36">
        <v>0.72</v>
      </c>
      <c r="I18" s="40">
        <f t="shared" si="1"/>
        <v>0</v>
      </c>
      <c r="J18" s="29">
        <v>100000</v>
      </c>
      <c r="K18" s="14">
        <v>100000</v>
      </c>
      <c r="L18" s="30">
        <v>100000</v>
      </c>
      <c r="M18" s="40">
        <f t="shared" si="2"/>
        <v>17.033333333333335</v>
      </c>
      <c r="N18" s="44">
        <f t="shared" si="3"/>
        <v>0.73433333333333339</v>
      </c>
      <c r="O18" s="49">
        <f t="shared" si="4"/>
        <v>3.3333333333334991E-2</v>
      </c>
      <c r="P18" s="16">
        <f t="shared" si="5"/>
        <v>-6.666666666666643E-2</v>
      </c>
      <c r="Q18" s="50">
        <f t="shared" si="6"/>
        <v>3.3333333333334991E-2</v>
      </c>
      <c r="R18" s="57">
        <f t="shared" si="7"/>
        <v>-1.3666666666666605E-2</v>
      </c>
      <c r="S18" s="17">
        <f t="shared" si="0"/>
        <v>-6.6666666666659324E-4</v>
      </c>
      <c r="T18" s="58">
        <f t="shared" si="8"/>
        <v>1.433333333333342E-2</v>
      </c>
    </row>
    <row r="19" spans="1:20">
      <c r="A19" s="25" t="s">
        <v>18</v>
      </c>
      <c r="B19" s="75">
        <v>43383.081423611111</v>
      </c>
      <c r="C19" s="29">
        <v>17</v>
      </c>
      <c r="D19" s="14">
        <v>17.100000000000001</v>
      </c>
      <c r="E19" s="30">
        <v>17</v>
      </c>
      <c r="F19" s="35">
        <v>0.748</v>
      </c>
      <c r="G19" s="15">
        <v>0.73399999999999999</v>
      </c>
      <c r="H19" s="36">
        <v>0.72</v>
      </c>
      <c r="I19" s="40">
        <f t="shared" si="1"/>
        <v>0</v>
      </c>
      <c r="J19" s="29">
        <v>100000</v>
      </c>
      <c r="K19" s="14">
        <v>100000</v>
      </c>
      <c r="L19" s="30">
        <v>100000</v>
      </c>
      <c r="M19" s="40">
        <f t="shared" si="2"/>
        <v>17.033333333333335</v>
      </c>
      <c r="N19" s="44">
        <f t="shared" si="3"/>
        <v>0.73399999999999999</v>
      </c>
      <c r="O19" s="49">
        <f t="shared" si="4"/>
        <v>3.3333333333334991E-2</v>
      </c>
      <c r="P19" s="16">
        <f t="shared" si="5"/>
        <v>-6.666666666666643E-2</v>
      </c>
      <c r="Q19" s="50">
        <f t="shared" si="6"/>
        <v>3.3333333333334991E-2</v>
      </c>
      <c r="R19" s="57">
        <f t="shared" si="7"/>
        <v>-1.4000000000000012E-2</v>
      </c>
      <c r="S19" s="17">
        <f t="shared" si="0"/>
        <v>0</v>
      </c>
      <c r="T19" s="58">
        <f t="shared" si="8"/>
        <v>1.4000000000000012E-2</v>
      </c>
    </row>
    <row r="20" spans="1:20">
      <c r="A20" s="25" t="s">
        <v>19</v>
      </c>
      <c r="B20" s="75">
        <v>43383.090243055558</v>
      </c>
      <c r="C20" s="29">
        <v>17</v>
      </c>
      <c r="D20" s="14">
        <v>17</v>
      </c>
      <c r="E20" s="30">
        <v>17</v>
      </c>
      <c r="F20" s="35">
        <v>0.748</v>
      </c>
      <c r="G20" s="15">
        <v>0.73399999999999999</v>
      </c>
      <c r="H20" s="36">
        <v>0.72</v>
      </c>
      <c r="I20" s="40">
        <f t="shared" si="1"/>
        <v>0</v>
      </c>
      <c r="J20" s="29">
        <v>100000</v>
      </c>
      <c r="K20" s="14">
        <v>100000</v>
      </c>
      <c r="L20" s="30">
        <v>100000</v>
      </c>
      <c r="M20" s="40">
        <f t="shared" si="2"/>
        <v>17</v>
      </c>
      <c r="N20" s="44">
        <f t="shared" si="3"/>
        <v>0.73399999999999999</v>
      </c>
      <c r="O20" s="49">
        <f t="shared" si="4"/>
        <v>0</v>
      </c>
      <c r="P20" s="16">
        <f t="shared" si="5"/>
        <v>0</v>
      </c>
      <c r="Q20" s="50">
        <f t="shared" si="6"/>
        <v>0</v>
      </c>
      <c r="R20" s="57">
        <f t="shared" si="7"/>
        <v>-1.4000000000000012E-2</v>
      </c>
      <c r="S20" s="17">
        <f t="shared" si="0"/>
        <v>0</v>
      </c>
      <c r="T20" s="58">
        <f t="shared" si="8"/>
        <v>1.4000000000000012E-2</v>
      </c>
    </row>
    <row r="21" spans="1:20">
      <c r="A21" s="25" t="s">
        <v>20</v>
      </c>
      <c r="B21" s="75">
        <v>43383.107928240737</v>
      </c>
      <c r="C21" s="29">
        <v>17</v>
      </c>
      <c r="D21" s="14">
        <v>17</v>
      </c>
      <c r="E21" s="30">
        <v>16.899999999999999</v>
      </c>
      <c r="F21" s="35">
        <v>0.748</v>
      </c>
      <c r="G21" s="15">
        <v>0.73299999999999998</v>
      </c>
      <c r="H21" s="36">
        <v>0.71899999999999997</v>
      </c>
      <c r="I21" s="40">
        <f t="shared" si="1"/>
        <v>0</v>
      </c>
      <c r="J21" s="29">
        <v>100000</v>
      </c>
      <c r="K21" s="14">
        <v>100000</v>
      </c>
      <c r="L21" s="30">
        <v>100000</v>
      </c>
      <c r="M21" s="40">
        <f t="shared" si="2"/>
        <v>16.966666666666665</v>
      </c>
      <c r="N21" s="44">
        <f t="shared" si="3"/>
        <v>0.73333333333333328</v>
      </c>
      <c r="O21" s="49">
        <f t="shared" si="4"/>
        <v>-3.3333333333334991E-2</v>
      </c>
      <c r="P21" s="16">
        <f t="shared" si="5"/>
        <v>-3.3333333333334991E-2</v>
      </c>
      <c r="Q21" s="50">
        <f t="shared" si="6"/>
        <v>6.666666666666643E-2</v>
      </c>
      <c r="R21" s="57">
        <f t="shared" si="7"/>
        <v>-1.4666666666666717E-2</v>
      </c>
      <c r="S21" s="17">
        <f t="shared" si="0"/>
        <v>3.3333333333329662E-4</v>
      </c>
      <c r="T21" s="58">
        <f t="shared" si="8"/>
        <v>1.4333333333333309E-2</v>
      </c>
    </row>
    <row r="22" spans="1:20">
      <c r="A22" s="25" t="s">
        <v>21</v>
      </c>
      <c r="B22" s="75">
        <v>43383.116759259261</v>
      </c>
      <c r="C22" s="29">
        <v>17</v>
      </c>
      <c r="D22" s="14">
        <v>17</v>
      </c>
      <c r="E22" s="30">
        <v>16.899999999999999</v>
      </c>
      <c r="F22" s="35">
        <v>0.747</v>
      </c>
      <c r="G22" s="15">
        <v>0.73299999999999998</v>
      </c>
      <c r="H22" s="36">
        <v>0.71899999999999997</v>
      </c>
      <c r="I22" s="40">
        <f t="shared" si="1"/>
        <v>0</v>
      </c>
      <c r="J22" s="29">
        <v>100000</v>
      </c>
      <c r="K22" s="14">
        <v>100000</v>
      </c>
      <c r="L22" s="30">
        <v>100000</v>
      </c>
      <c r="M22" s="40">
        <f t="shared" si="2"/>
        <v>16.966666666666665</v>
      </c>
      <c r="N22" s="44">
        <f t="shared" si="3"/>
        <v>0.73299999999999998</v>
      </c>
      <c r="O22" s="49">
        <f t="shared" si="4"/>
        <v>-3.3333333333334991E-2</v>
      </c>
      <c r="P22" s="16">
        <f t="shared" si="5"/>
        <v>-3.3333333333334991E-2</v>
      </c>
      <c r="Q22" s="50">
        <f t="shared" si="6"/>
        <v>6.666666666666643E-2</v>
      </c>
      <c r="R22" s="57">
        <f t="shared" si="7"/>
        <v>-1.4000000000000012E-2</v>
      </c>
      <c r="S22" s="17">
        <f t="shared" si="0"/>
        <v>0</v>
      </c>
      <c r="T22" s="58">
        <f t="shared" si="8"/>
        <v>1.4000000000000012E-2</v>
      </c>
    </row>
    <row r="23" spans="1:20">
      <c r="A23" s="25" t="s">
        <v>22</v>
      </c>
      <c r="B23" s="75">
        <v>43383.125590277778</v>
      </c>
      <c r="C23" s="29">
        <v>17</v>
      </c>
      <c r="D23" s="14">
        <v>17</v>
      </c>
      <c r="E23" s="30">
        <v>16.899999999999999</v>
      </c>
      <c r="F23" s="35">
        <v>0.747</v>
      </c>
      <c r="G23" s="15">
        <v>0.73299999999999998</v>
      </c>
      <c r="H23" s="36">
        <v>0.71899999999999997</v>
      </c>
      <c r="I23" s="40">
        <f t="shared" si="1"/>
        <v>0</v>
      </c>
      <c r="J23" s="29">
        <v>100000</v>
      </c>
      <c r="K23" s="14">
        <v>100000</v>
      </c>
      <c r="L23" s="30">
        <v>100000</v>
      </c>
      <c r="M23" s="40">
        <f t="shared" si="2"/>
        <v>16.966666666666665</v>
      </c>
      <c r="N23" s="44">
        <f t="shared" si="3"/>
        <v>0.73299999999999998</v>
      </c>
      <c r="O23" s="49">
        <f t="shared" si="4"/>
        <v>-3.3333333333334991E-2</v>
      </c>
      <c r="P23" s="16">
        <f t="shared" si="5"/>
        <v>-3.3333333333334991E-2</v>
      </c>
      <c r="Q23" s="50">
        <f t="shared" si="6"/>
        <v>6.666666666666643E-2</v>
      </c>
      <c r="R23" s="57">
        <f t="shared" si="7"/>
        <v>-1.4000000000000012E-2</v>
      </c>
      <c r="S23" s="17">
        <f t="shared" si="0"/>
        <v>0</v>
      </c>
      <c r="T23" s="58">
        <f t="shared" si="8"/>
        <v>1.4000000000000012E-2</v>
      </c>
    </row>
    <row r="24" spans="1:20">
      <c r="A24" s="25" t="s">
        <v>23</v>
      </c>
      <c r="B24" s="75">
        <v>43383.134421296294</v>
      </c>
      <c r="C24" s="29">
        <v>17</v>
      </c>
      <c r="D24" s="14">
        <v>17</v>
      </c>
      <c r="E24" s="30">
        <v>16.899999999999999</v>
      </c>
      <c r="F24" s="35">
        <v>0.747</v>
      </c>
      <c r="G24" s="15">
        <v>0.73299999999999998</v>
      </c>
      <c r="H24" s="36">
        <v>0.71899999999999997</v>
      </c>
      <c r="I24" s="40">
        <f t="shared" si="1"/>
        <v>0</v>
      </c>
      <c r="J24" s="29">
        <v>100000</v>
      </c>
      <c r="K24" s="14">
        <v>100000</v>
      </c>
      <c r="L24" s="30">
        <v>100000</v>
      </c>
      <c r="M24" s="40">
        <f t="shared" si="2"/>
        <v>16.966666666666665</v>
      </c>
      <c r="N24" s="44">
        <f t="shared" si="3"/>
        <v>0.73299999999999998</v>
      </c>
      <c r="O24" s="49">
        <f t="shared" si="4"/>
        <v>-3.3333333333334991E-2</v>
      </c>
      <c r="P24" s="16">
        <f t="shared" si="5"/>
        <v>-3.3333333333334991E-2</v>
      </c>
      <c r="Q24" s="50">
        <f t="shared" si="6"/>
        <v>6.666666666666643E-2</v>
      </c>
      <c r="R24" s="57">
        <f t="shared" si="7"/>
        <v>-1.4000000000000012E-2</v>
      </c>
      <c r="S24" s="17">
        <f t="shared" si="0"/>
        <v>0</v>
      </c>
      <c r="T24" s="58">
        <f t="shared" si="8"/>
        <v>1.4000000000000012E-2</v>
      </c>
    </row>
    <row r="25" spans="1:20">
      <c r="A25" s="25" t="s">
        <v>24</v>
      </c>
      <c r="B25" s="75">
        <v>43383.143252314818</v>
      </c>
      <c r="C25" s="29">
        <v>16.899999999999999</v>
      </c>
      <c r="D25" s="14">
        <v>17</v>
      </c>
      <c r="E25" s="30">
        <v>16.899999999999999</v>
      </c>
      <c r="F25" s="35">
        <v>0.747</v>
      </c>
      <c r="G25" s="15">
        <v>0.73299999999999998</v>
      </c>
      <c r="H25" s="36">
        <v>0.71799999999999997</v>
      </c>
      <c r="I25" s="40">
        <f t="shared" si="1"/>
        <v>0</v>
      </c>
      <c r="J25" s="29">
        <v>100000</v>
      </c>
      <c r="K25" s="14">
        <v>100000</v>
      </c>
      <c r="L25" s="30">
        <v>100000</v>
      </c>
      <c r="M25" s="40">
        <f t="shared" si="2"/>
        <v>16.933333333333334</v>
      </c>
      <c r="N25" s="44">
        <f t="shared" si="3"/>
        <v>0.73266666666666669</v>
      </c>
      <c r="O25" s="49">
        <f t="shared" si="4"/>
        <v>3.3333333333334991E-2</v>
      </c>
      <c r="P25" s="16">
        <f t="shared" si="5"/>
        <v>-6.666666666666643E-2</v>
      </c>
      <c r="Q25" s="50">
        <f t="shared" si="6"/>
        <v>3.3333333333334991E-2</v>
      </c>
      <c r="R25" s="57">
        <f t="shared" si="7"/>
        <v>-1.4333333333333309E-2</v>
      </c>
      <c r="S25" s="17">
        <f t="shared" si="0"/>
        <v>-3.3333333333329662E-4</v>
      </c>
      <c r="T25" s="58">
        <f t="shared" si="8"/>
        <v>1.4666666666666717E-2</v>
      </c>
    </row>
    <row r="26" spans="1:20">
      <c r="A26" s="25" t="s">
        <v>25</v>
      </c>
      <c r="B26" s="75">
        <v>43383.152071759258</v>
      </c>
      <c r="C26" s="29">
        <v>16.899999999999999</v>
      </c>
      <c r="D26" s="14">
        <v>17</v>
      </c>
      <c r="E26" s="30">
        <v>16.899999999999999</v>
      </c>
      <c r="F26" s="35">
        <v>0.747</v>
      </c>
      <c r="G26" s="15">
        <v>0.73299999999999998</v>
      </c>
      <c r="H26" s="36">
        <v>0.71799999999999997</v>
      </c>
      <c r="I26" s="40">
        <f t="shared" si="1"/>
        <v>0</v>
      </c>
      <c r="J26" s="29">
        <v>100000</v>
      </c>
      <c r="K26" s="14">
        <v>100000</v>
      </c>
      <c r="L26" s="30">
        <v>100000</v>
      </c>
      <c r="M26" s="40">
        <f t="shared" si="2"/>
        <v>16.933333333333334</v>
      </c>
      <c r="N26" s="44">
        <f t="shared" si="3"/>
        <v>0.73266666666666669</v>
      </c>
      <c r="O26" s="49">
        <f t="shared" si="4"/>
        <v>3.3333333333334991E-2</v>
      </c>
      <c r="P26" s="16">
        <f t="shared" si="5"/>
        <v>-6.666666666666643E-2</v>
      </c>
      <c r="Q26" s="50">
        <f t="shared" si="6"/>
        <v>3.3333333333334991E-2</v>
      </c>
      <c r="R26" s="57">
        <f t="shared" si="7"/>
        <v>-1.4333333333333309E-2</v>
      </c>
      <c r="S26" s="17">
        <f t="shared" si="0"/>
        <v>-3.3333333333329662E-4</v>
      </c>
      <c r="T26" s="58">
        <f t="shared" si="8"/>
        <v>1.4666666666666717E-2</v>
      </c>
    </row>
    <row r="27" spans="1:20">
      <c r="A27" s="25" t="s">
        <v>26</v>
      </c>
      <c r="B27" s="75">
        <v>43383.160902777781</v>
      </c>
      <c r="C27" s="29">
        <v>16.899999999999999</v>
      </c>
      <c r="D27" s="14">
        <v>17</v>
      </c>
      <c r="E27" s="30">
        <v>16.899999999999999</v>
      </c>
      <c r="F27" s="35">
        <v>0.746</v>
      </c>
      <c r="G27" s="15">
        <v>0.73299999999999998</v>
      </c>
      <c r="H27" s="36">
        <v>0.71799999999999997</v>
      </c>
      <c r="I27" s="40">
        <f t="shared" si="1"/>
        <v>0</v>
      </c>
      <c r="J27" s="29">
        <v>100000</v>
      </c>
      <c r="K27" s="14">
        <v>100000</v>
      </c>
      <c r="L27" s="30">
        <v>100000</v>
      </c>
      <c r="M27" s="40">
        <f t="shared" si="2"/>
        <v>16.933333333333334</v>
      </c>
      <c r="N27" s="44">
        <f t="shared" si="3"/>
        <v>0.73233333333333339</v>
      </c>
      <c r="O27" s="49">
        <f t="shared" si="4"/>
        <v>3.3333333333334991E-2</v>
      </c>
      <c r="P27" s="16">
        <f t="shared" si="5"/>
        <v>-6.666666666666643E-2</v>
      </c>
      <c r="Q27" s="50">
        <f t="shared" si="6"/>
        <v>3.3333333333334991E-2</v>
      </c>
      <c r="R27" s="57">
        <f t="shared" si="7"/>
        <v>-1.3666666666666605E-2</v>
      </c>
      <c r="S27" s="17">
        <f t="shared" si="0"/>
        <v>-6.6666666666659324E-4</v>
      </c>
      <c r="T27" s="58">
        <f t="shared" si="8"/>
        <v>1.433333333333342E-2</v>
      </c>
    </row>
    <row r="28" spans="1:20">
      <c r="A28" s="25" t="s">
        <v>27</v>
      </c>
      <c r="B28" s="75">
        <v>43383.169733796298</v>
      </c>
      <c r="C28" s="29">
        <v>16.899999999999999</v>
      </c>
      <c r="D28" s="14">
        <v>17</v>
      </c>
      <c r="E28" s="30">
        <v>16.899999999999999</v>
      </c>
      <c r="F28" s="35">
        <v>0.747</v>
      </c>
      <c r="G28" s="15">
        <v>0.73399999999999999</v>
      </c>
      <c r="H28" s="36">
        <v>0.71899999999999997</v>
      </c>
      <c r="I28" s="40">
        <f t="shared" si="1"/>
        <v>0</v>
      </c>
      <c r="J28" s="29">
        <v>100000</v>
      </c>
      <c r="K28" s="14">
        <v>100000</v>
      </c>
      <c r="L28" s="30">
        <v>100000</v>
      </c>
      <c r="M28" s="40">
        <f t="shared" si="2"/>
        <v>16.933333333333334</v>
      </c>
      <c r="N28" s="44">
        <f t="shared" si="3"/>
        <v>0.73333333333333328</v>
      </c>
      <c r="O28" s="49">
        <f t="shared" si="4"/>
        <v>3.3333333333334991E-2</v>
      </c>
      <c r="P28" s="16">
        <f t="shared" si="5"/>
        <v>-6.666666666666643E-2</v>
      </c>
      <c r="Q28" s="50">
        <f t="shared" si="6"/>
        <v>3.3333333333334991E-2</v>
      </c>
      <c r="R28" s="57">
        <f t="shared" si="7"/>
        <v>-1.3666666666666716E-2</v>
      </c>
      <c r="S28" s="17">
        <f t="shared" si="0"/>
        <v>-6.6666666666670427E-4</v>
      </c>
      <c r="T28" s="58">
        <f t="shared" si="8"/>
        <v>1.4333333333333309E-2</v>
      </c>
    </row>
    <row r="29" spans="1:20">
      <c r="A29" s="25" t="s">
        <v>28</v>
      </c>
      <c r="B29" s="75">
        <v>43383.178553240738</v>
      </c>
      <c r="C29" s="29">
        <v>17</v>
      </c>
      <c r="D29" s="14">
        <v>17</v>
      </c>
      <c r="E29" s="30">
        <v>16.899999999999999</v>
      </c>
      <c r="F29" s="35">
        <v>0.747</v>
      </c>
      <c r="G29" s="15">
        <v>0.73299999999999998</v>
      </c>
      <c r="H29" s="36">
        <v>0.71899999999999997</v>
      </c>
      <c r="I29" s="40">
        <f t="shared" si="1"/>
        <v>0</v>
      </c>
      <c r="J29" s="29">
        <v>100000</v>
      </c>
      <c r="K29" s="14">
        <v>100000</v>
      </c>
      <c r="L29" s="30">
        <v>100000</v>
      </c>
      <c r="M29" s="40">
        <f t="shared" si="2"/>
        <v>16.966666666666665</v>
      </c>
      <c r="N29" s="44">
        <f t="shared" si="3"/>
        <v>0.73299999999999998</v>
      </c>
      <c r="O29" s="49">
        <f t="shared" si="4"/>
        <v>-3.3333333333334991E-2</v>
      </c>
      <c r="P29" s="16">
        <f t="shared" si="5"/>
        <v>-3.3333333333334991E-2</v>
      </c>
      <c r="Q29" s="50">
        <f t="shared" si="6"/>
        <v>6.666666666666643E-2</v>
      </c>
      <c r="R29" s="57">
        <f t="shared" si="7"/>
        <v>-1.4000000000000012E-2</v>
      </c>
      <c r="S29" s="17">
        <f t="shared" si="0"/>
        <v>0</v>
      </c>
      <c r="T29" s="58">
        <f t="shared" si="8"/>
        <v>1.4000000000000012E-2</v>
      </c>
    </row>
    <row r="30" spans="1:20">
      <c r="A30" s="25" t="s">
        <v>29</v>
      </c>
      <c r="B30" s="75">
        <v>43383.187384259261</v>
      </c>
      <c r="C30" s="29">
        <v>17</v>
      </c>
      <c r="D30" s="14">
        <v>17</v>
      </c>
      <c r="E30" s="30">
        <v>16.899999999999999</v>
      </c>
      <c r="F30" s="35">
        <v>0.747</v>
      </c>
      <c r="G30" s="15">
        <v>0.73299999999999998</v>
      </c>
      <c r="H30" s="36">
        <v>0.71899999999999997</v>
      </c>
      <c r="I30" s="40">
        <f t="shared" si="1"/>
        <v>0</v>
      </c>
      <c r="J30" s="29">
        <v>100000</v>
      </c>
      <c r="K30" s="14">
        <v>100000</v>
      </c>
      <c r="L30" s="30">
        <v>100000</v>
      </c>
      <c r="M30" s="40">
        <f t="shared" si="2"/>
        <v>16.966666666666665</v>
      </c>
      <c r="N30" s="44">
        <f t="shared" si="3"/>
        <v>0.73299999999999998</v>
      </c>
      <c r="O30" s="49">
        <f t="shared" si="4"/>
        <v>-3.3333333333334991E-2</v>
      </c>
      <c r="P30" s="16">
        <f t="shared" si="5"/>
        <v>-3.3333333333334991E-2</v>
      </c>
      <c r="Q30" s="50">
        <f t="shared" si="6"/>
        <v>6.666666666666643E-2</v>
      </c>
      <c r="R30" s="57">
        <f t="shared" si="7"/>
        <v>-1.4000000000000012E-2</v>
      </c>
      <c r="S30" s="17">
        <f t="shared" si="0"/>
        <v>0</v>
      </c>
      <c r="T30" s="58">
        <f t="shared" si="8"/>
        <v>1.4000000000000012E-2</v>
      </c>
    </row>
    <row r="31" spans="1:20">
      <c r="A31" s="25" t="s">
        <v>30</v>
      </c>
      <c r="B31" s="75">
        <v>43383.196215277778</v>
      </c>
      <c r="C31" s="29">
        <v>17</v>
      </c>
      <c r="D31" s="14">
        <v>17</v>
      </c>
      <c r="E31" s="30">
        <v>16.899999999999999</v>
      </c>
      <c r="F31" s="35">
        <v>0.746</v>
      </c>
      <c r="G31" s="15">
        <v>0.73199999999999998</v>
      </c>
      <c r="H31" s="36">
        <v>0.71699999999999997</v>
      </c>
      <c r="I31" s="40">
        <f t="shared" si="1"/>
        <v>0</v>
      </c>
      <c r="J31" s="29">
        <v>100000</v>
      </c>
      <c r="K31" s="14">
        <v>100000</v>
      </c>
      <c r="L31" s="30">
        <v>100000</v>
      </c>
      <c r="M31" s="40">
        <f t="shared" si="2"/>
        <v>16.966666666666665</v>
      </c>
      <c r="N31" s="44">
        <f t="shared" si="3"/>
        <v>0.73166666666666658</v>
      </c>
      <c r="O31" s="49">
        <f t="shared" si="4"/>
        <v>-3.3333333333334991E-2</v>
      </c>
      <c r="P31" s="16">
        <f t="shared" si="5"/>
        <v>-3.3333333333334991E-2</v>
      </c>
      <c r="Q31" s="50">
        <f t="shared" si="6"/>
        <v>6.666666666666643E-2</v>
      </c>
      <c r="R31" s="57">
        <f t="shared" si="7"/>
        <v>-1.433333333333342E-2</v>
      </c>
      <c r="S31" s="17">
        <f t="shared" si="0"/>
        <v>-3.3333333333340764E-4</v>
      </c>
      <c r="T31" s="58">
        <f t="shared" si="8"/>
        <v>1.4666666666666606E-2</v>
      </c>
    </row>
    <row r="32" spans="1:20">
      <c r="A32" s="25" t="s">
        <v>31</v>
      </c>
      <c r="B32" s="75">
        <v>43383.205046296294</v>
      </c>
      <c r="C32" s="29">
        <v>17</v>
      </c>
      <c r="D32" s="14">
        <v>17</v>
      </c>
      <c r="E32" s="30">
        <v>16.899999999999999</v>
      </c>
      <c r="F32" s="35">
        <v>0.746</v>
      </c>
      <c r="G32" s="15">
        <v>0.73199999999999998</v>
      </c>
      <c r="H32" s="36">
        <v>0.71699999999999997</v>
      </c>
      <c r="I32" s="40">
        <f t="shared" si="1"/>
        <v>0</v>
      </c>
      <c r="J32" s="29">
        <v>100000</v>
      </c>
      <c r="K32" s="14">
        <v>100000</v>
      </c>
      <c r="L32" s="30">
        <v>100000</v>
      </c>
      <c r="M32" s="40">
        <f t="shared" si="2"/>
        <v>16.966666666666665</v>
      </c>
      <c r="N32" s="44">
        <f t="shared" si="3"/>
        <v>0.73166666666666658</v>
      </c>
      <c r="O32" s="49">
        <f t="shared" si="4"/>
        <v>-3.3333333333334991E-2</v>
      </c>
      <c r="P32" s="16">
        <f t="shared" si="5"/>
        <v>-3.3333333333334991E-2</v>
      </c>
      <c r="Q32" s="50">
        <f t="shared" si="6"/>
        <v>6.666666666666643E-2</v>
      </c>
      <c r="R32" s="57">
        <f t="shared" si="7"/>
        <v>-1.433333333333342E-2</v>
      </c>
      <c r="S32" s="17">
        <f t="shared" si="0"/>
        <v>-3.3333333333340764E-4</v>
      </c>
      <c r="T32" s="58">
        <f t="shared" si="8"/>
        <v>1.4666666666666606E-2</v>
      </c>
    </row>
    <row r="33" spans="1:20">
      <c r="A33" s="25" t="s">
        <v>32</v>
      </c>
      <c r="B33" s="75">
        <v>43383.213877314818</v>
      </c>
      <c r="C33" s="29">
        <v>17</v>
      </c>
      <c r="D33" s="14">
        <v>17</v>
      </c>
      <c r="E33" s="30">
        <v>16.899999999999999</v>
      </c>
      <c r="F33" s="35">
        <v>0.746</v>
      </c>
      <c r="G33" s="15">
        <v>0.73199999999999998</v>
      </c>
      <c r="H33" s="36">
        <v>0.71699999999999997</v>
      </c>
      <c r="I33" s="40">
        <f t="shared" si="1"/>
        <v>0</v>
      </c>
      <c r="J33" s="29">
        <v>100000</v>
      </c>
      <c r="K33" s="14">
        <v>100000</v>
      </c>
      <c r="L33" s="30">
        <v>100000</v>
      </c>
      <c r="M33" s="40">
        <f t="shared" si="2"/>
        <v>16.966666666666665</v>
      </c>
      <c r="N33" s="44">
        <f t="shared" si="3"/>
        <v>0.73166666666666658</v>
      </c>
      <c r="O33" s="49">
        <f t="shared" si="4"/>
        <v>-3.3333333333334991E-2</v>
      </c>
      <c r="P33" s="16">
        <f t="shared" si="5"/>
        <v>-3.3333333333334991E-2</v>
      </c>
      <c r="Q33" s="50">
        <f t="shared" si="6"/>
        <v>6.666666666666643E-2</v>
      </c>
      <c r="R33" s="57">
        <f t="shared" si="7"/>
        <v>-1.433333333333342E-2</v>
      </c>
      <c r="S33" s="17">
        <f t="shared" si="0"/>
        <v>-3.3333333333340764E-4</v>
      </c>
      <c r="T33" s="58">
        <f t="shared" si="8"/>
        <v>1.4666666666666606E-2</v>
      </c>
    </row>
    <row r="34" spans="1:20">
      <c r="A34" s="25" t="s">
        <v>33</v>
      </c>
      <c r="B34" s="75">
        <v>43383.222696759258</v>
      </c>
      <c r="C34" s="29">
        <v>17</v>
      </c>
      <c r="D34" s="14">
        <v>17</v>
      </c>
      <c r="E34" s="30">
        <v>16.899999999999999</v>
      </c>
      <c r="F34" s="35">
        <v>0.746</v>
      </c>
      <c r="G34" s="15">
        <v>0.73099999999999998</v>
      </c>
      <c r="H34" s="36">
        <v>0.71699999999999997</v>
      </c>
      <c r="I34" s="40">
        <f t="shared" si="1"/>
        <v>0</v>
      </c>
      <c r="J34" s="29">
        <v>100000</v>
      </c>
      <c r="K34" s="14">
        <v>100000</v>
      </c>
      <c r="L34" s="30">
        <v>100000</v>
      </c>
      <c r="M34" s="40">
        <f t="shared" si="2"/>
        <v>16.966666666666665</v>
      </c>
      <c r="N34" s="44">
        <f t="shared" si="3"/>
        <v>0.73133333333333328</v>
      </c>
      <c r="O34" s="49">
        <f t="shared" si="4"/>
        <v>-3.3333333333334991E-2</v>
      </c>
      <c r="P34" s="16">
        <f t="shared" si="5"/>
        <v>-3.3333333333334991E-2</v>
      </c>
      <c r="Q34" s="50">
        <f t="shared" si="6"/>
        <v>6.666666666666643E-2</v>
      </c>
      <c r="R34" s="57">
        <f t="shared" si="7"/>
        <v>-1.4666666666666717E-2</v>
      </c>
      <c r="S34" s="17">
        <f t="shared" si="0"/>
        <v>3.3333333333329662E-4</v>
      </c>
      <c r="T34" s="58">
        <f t="shared" si="8"/>
        <v>1.4333333333333309E-2</v>
      </c>
    </row>
    <row r="35" spans="1:20">
      <c r="A35" s="25" t="s">
        <v>34</v>
      </c>
      <c r="B35" s="75">
        <v>43383.231562499997</v>
      </c>
      <c r="C35" s="29">
        <v>17</v>
      </c>
      <c r="D35" s="14">
        <v>17</v>
      </c>
      <c r="E35" s="30">
        <v>16.899999999999999</v>
      </c>
      <c r="F35" s="35">
        <v>0.746</v>
      </c>
      <c r="G35" s="15">
        <v>0.73099999999999998</v>
      </c>
      <c r="H35" s="36">
        <v>0.71599999999999997</v>
      </c>
      <c r="I35" s="40">
        <f t="shared" si="1"/>
        <v>0</v>
      </c>
      <c r="J35" s="29">
        <v>100000</v>
      </c>
      <c r="K35" s="14">
        <v>100000</v>
      </c>
      <c r="L35" s="30">
        <v>100000</v>
      </c>
      <c r="M35" s="40">
        <f t="shared" si="2"/>
        <v>16.966666666666665</v>
      </c>
      <c r="N35" s="44">
        <f t="shared" si="3"/>
        <v>0.73099999999999987</v>
      </c>
      <c r="O35" s="49">
        <f t="shared" si="4"/>
        <v>-3.3333333333334991E-2</v>
      </c>
      <c r="P35" s="16">
        <f t="shared" si="5"/>
        <v>-3.3333333333334991E-2</v>
      </c>
      <c r="Q35" s="50">
        <f t="shared" si="6"/>
        <v>6.666666666666643E-2</v>
      </c>
      <c r="R35" s="57">
        <f t="shared" si="7"/>
        <v>-1.5000000000000124E-2</v>
      </c>
      <c r="S35" s="17">
        <f t="shared" si="0"/>
        <v>0</v>
      </c>
      <c r="T35" s="58">
        <f t="shared" si="8"/>
        <v>1.4999999999999902E-2</v>
      </c>
    </row>
    <row r="36" spans="1:20">
      <c r="A36" s="25" t="s">
        <v>35</v>
      </c>
      <c r="B36" s="75">
        <v>43383.240393518521</v>
      </c>
      <c r="C36" s="29">
        <v>17</v>
      </c>
      <c r="D36" s="14">
        <v>17</v>
      </c>
      <c r="E36" s="30">
        <v>16.899999999999999</v>
      </c>
      <c r="F36" s="35">
        <v>0.746</v>
      </c>
      <c r="G36" s="15">
        <v>0.73099999999999998</v>
      </c>
      <c r="H36" s="36">
        <v>0.71599999999999997</v>
      </c>
      <c r="I36" s="40">
        <f t="shared" si="1"/>
        <v>0</v>
      </c>
      <c r="J36" s="29">
        <v>100000</v>
      </c>
      <c r="K36" s="14">
        <v>100000</v>
      </c>
      <c r="L36" s="30">
        <v>100000</v>
      </c>
      <c r="M36" s="40">
        <f t="shared" si="2"/>
        <v>16.966666666666665</v>
      </c>
      <c r="N36" s="44">
        <f t="shared" si="3"/>
        <v>0.73099999999999987</v>
      </c>
      <c r="O36" s="49">
        <f t="shared" si="4"/>
        <v>-3.3333333333334991E-2</v>
      </c>
      <c r="P36" s="16">
        <f t="shared" si="5"/>
        <v>-3.3333333333334991E-2</v>
      </c>
      <c r="Q36" s="50">
        <f t="shared" si="6"/>
        <v>6.666666666666643E-2</v>
      </c>
      <c r="R36" s="57">
        <f t="shared" si="7"/>
        <v>-1.5000000000000124E-2</v>
      </c>
      <c r="S36" s="17">
        <f t="shared" si="0"/>
        <v>0</v>
      </c>
      <c r="T36" s="58">
        <f t="shared" si="8"/>
        <v>1.4999999999999902E-2</v>
      </c>
    </row>
    <row r="37" spans="1:20">
      <c r="A37" s="25" t="s">
        <v>36</v>
      </c>
      <c r="B37" s="75">
        <v>43383.249247685184</v>
      </c>
      <c r="C37" s="29">
        <v>17</v>
      </c>
      <c r="D37" s="14">
        <v>17</v>
      </c>
      <c r="E37" s="30">
        <v>16.899999999999999</v>
      </c>
      <c r="F37" s="35">
        <v>0.746</v>
      </c>
      <c r="G37" s="15">
        <v>0.73099999999999998</v>
      </c>
      <c r="H37" s="36">
        <v>0.71599999999999997</v>
      </c>
      <c r="I37" s="40">
        <f t="shared" si="1"/>
        <v>0</v>
      </c>
      <c r="J37" s="29">
        <v>100000</v>
      </c>
      <c r="K37" s="14">
        <v>100000</v>
      </c>
      <c r="L37" s="30">
        <v>100000</v>
      </c>
      <c r="M37" s="40">
        <f t="shared" si="2"/>
        <v>16.966666666666665</v>
      </c>
      <c r="N37" s="44">
        <f t="shared" si="3"/>
        <v>0.73099999999999987</v>
      </c>
      <c r="O37" s="49">
        <f t="shared" si="4"/>
        <v>-3.3333333333334991E-2</v>
      </c>
      <c r="P37" s="16">
        <f t="shared" si="5"/>
        <v>-3.3333333333334991E-2</v>
      </c>
      <c r="Q37" s="50">
        <f t="shared" si="6"/>
        <v>6.666666666666643E-2</v>
      </c>
      <c r="R37" s="57">
        <f t="shared" si="7"/>
        <v>-1.5000000000000124E-2</v>
      </c>
      <c r="S37" s="17">
        <f t="shared" si="0"/>
        <v>0</v>
      </c>
      <c r="T37" s="58">
        <f t="shared" si="8"/>
        <v>1.4999999999999902E-2</v>
      </c>
    </row>
    <row r="38" spans="1:20">
      <c r="A38" s="25" t="s">
        <v>37</v>
      </c>
      <c r="B38" s="75">
        <v>43383.2580787037</v>
      </c>
      <c r="C38" s="29">
        <v>17</v>
      </c>
      <c r="D38" s="14">
        <v>17</v>
      </c>
      <c r="E38" s="30">
        <v>16.899999999999999</v>
      </c>
      <c r="F38" s="35">
        <v>0.746</v>
      </c>
      <c r="G38" s="15">
        <v>0.73099999999999998</v>
      </c>
      <c r="H38" s="36">
        <v>0.71599999999999997</v>
      </c>
      <c r="I38" s="40">
        <f t="shared" si="1"/>
        <v>0</v>
      </c>
      <c r="J38" s="29">
        <v>100000</v>
      </c>
      <c r="K38" s="14">
        <v>100000</v>
      </c>
      <c r="L38" s="30">
        <v>100000</v>
      </c>
      <c r="M38" s="40">
        <f t="shared" si="2"/>
        <v>16.966666666666665</v>
      </c>
      <c r="N38" s="44">
        <f t="shared" si="3"/>
        <v>0.73099999999999987</v>
      </c>
      <c r="O38" s="49">
        <f t="shared" si="4"/>
        <v>-3.3333333333334991E-2</v>
      </c>
      <c r="P38" s="16">
        <f t="shared" si="5"/>
        <v>-3.3333333333334991E-2</v>
      </c>
      <c r="Q38" s="50">
        <f t="shared" si="6"/>
        <v>6.666666666666643E-2</v>
      </c>
      <c r="R38" s="57">
        <f t="shared" si="7"/>
        <v>-1.5000000000000124E-2</v>
      </c>
      <c r="S38" s="17">
        <f t="shared" si="0"/>
        <v>0</v>
      </c>
      <c r="T38" s="58">
        <f t="shared" si="8"/>
        <v>1.4999999999999902E-2</v>
      </c>
    </row>
    <row r="39" spans="1:20">
      <c r="A39" s="25" t="s">
        <v>38</v>
      </c>
      <c r="B39" s="75">
        <v>43383.266898148147</v>
      </c>
      <c r="C39" s="29">
        <v>17</v>
      </c>
      <c r="D39" s="14">
        <v>17</v>
      </c>
      <c r="E39" s="30">
        <v>16.899999999999999</v>
      </c>
      <c r="F39" s="35">
        <v>0.746</v>
      </c>
      <c r="G39" s="15">
        <v>0.73099999999999998</v>
      </c>
      <c r="H39" s="36">
        <v>0.71699999999999997</v>
      </c>
      <c r="I39" s="40">
        <f t="shared" si="1"/>
        <v>0</v>
      </c>
      <c r="J39" s="29">
        <v>100000</v>
      </c>
      <c r="K39" s="14">
        <v>100000</v>
      </c>
      <c r="L39" s="30">
        <v>100000</v>
      </c>
      <c r="M39" s="40">
        <f t="shared" si="2"/>
        <v>16.966666666666665</v>
      </c>
      <c r="N39" s="44">
        <f t="shared" si="3"/>
        <v>0.73133333333333328</v>
      </c>
      <c r="O39" s="49">
        <f t="shared" si="4"/>
        <v>-3.3333333333334991E-2</v>
      </c>
      <c r="P39" s="16">
        <f t="shared" si="5"/>
        <v>-3.3333333333334991E-2</v>
      </c>
      <c r="Q39" s="50">
        <f t="shared" si="6"/>
        <v>6.666666666666643E-2</v>
      </c>
      <c r="R39" s="57">
        <f t="shared" si="7"/>
        <v>-1.4666666666666717E-2</v>
      </c>
      <c r="S39" s="17">
        <f t="shared" si="0"/>
        <v>3.3333333333329662E-4</v>
      </c>
      <c r="T39" s="58">
        <f t="shared" si="8"/>
        <v>1.4333333333333309E-2</v>
      </c>
    </row>
    <row r="40" spans="1:20">
      <c r="A40" s="25" t="s">
        <v>39</v>
      </c>
      <c r="B40" s="75">
        <v>43383.275763888887</v>
      </c>
      <c r="C40" s="29">
        <v>16.899999999999999</v>
      </c>
      <c r="D40" s="14">
        <v>17</v>
      </c>
      <c r="E40" s="30">
        <v>16.899999999999999</v>
      </c>
      <c r="F40" s="35">
        <v>0.74399999999999999</v>
      </c>
      <c r="G40" s="15">
        <v>0.73</v>
      </c>
      <c r="H40" s="36">
        <v>0.71399999999999997</v>
      </c>
      <c r="I40" s="40">
        <f t="shared" si="1"/>
        <v>0</v>
      </c>
      <c r="J40" s="29">
        <v>100000</v>
      </c>
      <c r="K40" s="14">
        <v>100000</v>
      </c>
      <c r="L40" s="30">
        <v>100000</v>
      </c>
      <c r="M40" s="40">
        <f t="shared" si="2"/>
        <v>16.933333333333334</v>
      </c>
      <c r="N40" s="44">
        <f t="shared" si="3"/>
        <v>0.72933333333333328</v>
      </c>
      <c r="O40" s="49">
        <f t="shared" si="4"/>
        <v>3.3333333333334991E-2</v>
      </c>
      <c r="P40" s="16">
        <f t="shared" si="5"/>
        <v>-6.666666666666643E-2</v>
      </c>
      <c r="Q40" s="50">
        <f t="shared" si="6"/>
        <v>3.3333333333334991E-2</v>
      </c>
      <c r="R40" s="57">
        <f t="shared" si="7"/>
        <v>-1.4666666666666717E-2</v>
      </c>
      <c r="S40" s="17">
        <f t="shared" si="0"/>
        <v>-6.6666666666670427E-4</v>
      </c>
      <c r="T40" s="58">
        <f t="shared" si="8"/>
        <v>1.533333333333331E-2</v>
      </c>
    </row>
    <row r="41" spans="1:20">
      <c r="A41" s="25" t="s">
        <v>40</v>
      </c>
      <c r="B41" s="75">
        <v>43383.284583333334</v>
      </c>
      <c r="C41" s="29">
        <v>17</v>
      </c>
      <c r="D41" s="14">
        <v>17</v>
      </c>
      <c r="E41" s="30">
        <v>16.899999999999999</v>
      </c>
      <c r="F41" s="35">
        <v>0.745</v>
      </c>
      <c r="G41" s="15">
        <v>0.73199999999999998</v>
      </c>
      <c r="H41" s="36">
        <v>0.71799999999999997</v>
      </c>
      <c r="I41" s="40">
        <f t="shared" si="1"/>
        <v>0</v>
      </c>
      <c r="J41" s="29">
        <v>100000</v>
      </c>
      <c r="K41" s="14">
        <v>100000</v>
      </c>
      <c r="L41" s="30">
        <v>100000</v>
      </c>
      <c r="M41" s="40">
        <f t="shared" si="2"/>
        <v>16.966666666666665</v>
      </c>
      <c r="N41" s="44">
        <f t="shared" si="3"/>
        <v>0.73166666666666658</v>
      </c>
      <c r="O41" s="49">
        <f t="shared" si="4"/>
        <v>-3.3333333333334991E-2</v>
      </c>
      <c r="P41" s="16">
        <f t="shared" si="5"/>
        <v>-3.3333333333334991E-2</v>
      </c>
      <c r="Q41" s="50">
        <f t="shared" si="6"/>
        <v>6.666666666666643E-2</v>
      </c>
      <c r="R41" s="57">
        <f t="shared" si="7"/>
        <v>-1.3333333333333419E-2</v>
      </c>
      <c r="S41" s="17">
        <f t="shared" si="0"/>
        <v>-3.3333333333340764E-4</v>
      </c>
      <c r="T41" s="58">
        <f t="shared" si="8"/>
        <v>1.3666666666666605E-2</v>
      </c>
    </row>
    <row r="42" spans="1:20">
      <c r="A42" s="25" t="s">
        <v>41</v>
      </c>
      <c r="B42" s="75">
        <v>43383.293414351851</v>
      </c>
      <c r="C42" s="29">
        <v>16.899999999999999</v>
      </c>
      <c r="D42" s="14">
        <v>17</v>
      </c>
      <c r="E42" s="30">
        <v>16.899999999999999</v>
      </c>
      <c r="F42" s="35">
        <v>0.747</v>
      </c>
      <c r="G42" s="15">
        <v>0.73299999999999998</v>
      </c>
      <c r="H42" s="36">
        <v>0.71799999999999997</v>
      </c>
      <c r="I42" s="40">
        <f t="shared" si="1"/>
        <v>0.10116797216247364</v>
      </c>
      <c r="J42" s="29">
        <v>72438</v>
      </c>
      <c r="K42" s="14">
        <v>100000</v>
      </c>
      <c r="L42" s="30">
        <v>100000</v>
      </c>
      <c r="M42" s="40">
        <f t="shared" si="2"/>
        <v>16.933333333333334</v>
      </c>
      <c r="N42" s="44">
        <f t="shared" si="3"/>
        <v>0.73266666666666669</v>
      </c>
      <c r="O42" s="49">
        <f t="shared" si="4"/>
        <v>3.3333333333334991E-2</v>
      </c>
      <c r="P42" s="16">
        <f t="shared" si="5"/>
        <v>-6.666666666666643E-2</v>
      </c>
      <c r="Q42" s="50">
        <f t="shared" si="6"/>
        <v>3.3333333333334991E-2</v>
      </c>
      <c r="R42" s="57">
        <f t="shared" si="7"/>
        <v>-1.4333333333333309E-2</v>
      </c>
      <c r="S42" s="17">
        <f t="shared" si="0"/>
        <v>-3.3333333333329662E-4</v>
      </c>
      <c r="T42" s="58">
        <f t="shared" si="8"/>
        <v>1.4666666666666717E-2</v>
      </c>
    </row>
    <row r="43" spans="1:20">
      <c r="A43" s="25" t="s">
        <v>42</v>
      </c>
      <c r="B43" s="75">
        <v>43383.302222222221</v>
      </c>
      <c r="C43" s="29">
        <v>16.899999999999999</v>
      </c>
      <c r="D43" s="14">
        <v>17</v>
      </c>
      <c r="E43" s="30">
        <v>16.899999999999999</v>
      </c>
      <c r="F43" s="35">
        <v>0.751</v>
      </c>
      <c r="G43" s="15">
        <v>0.73799999999999999</v>
      </c>
      <c r="H43" s="36">
        <v>0.72399999999999998</v>
      </c>
      <c r="I43" s="40">
        <f t="shared" si="1"/>
        <v>3.211708549768356</v>
      </c>
      <c r="J43" s="29">
        <v>16540</v>
      </c>
      <c r="K43" s="14">
        <v>27345</v>
      </c>
      <c r="L43" s="30">
        <v>27345</v>
      </c>
      <c r="M43" s="40">
        <f t="shared" si="2"/>
        <v>16.933333333333334</v>
      </c>
      <c r="N43" s="44">
        <f t="shared" si="3"/>
        <v>0.73766666666666669</v>
      </c>
      <c r="O43" s="49">
        <f t="shared" si="4"/>
        <v>3.3333333333334991E-2</v>
      </c>
      <c r="P43" s="16">
        <f t="shared" si="5"/>
        <v>-6.666666666666643E-2</v>
      </c>
      <c r="Q43" s="50">
        <f t="shared" si="6"/>
        <v>3.3333333333334991E-2</v>
      </c>
      <c r="R43" s="57">
        <f t="shared" si="7"/>
        <v>-1.3333333333333308E-2</v>
      </c>
      <c r="S43" s="17">
        <f t="shared" si="0"/>
        <v>-3.3333333333329662E-4</v>
      </c>
      <c r="T43" s="58">
        <f t="shared" si="8"/>
        <v>1.3666666666666716E-2</v>
      </c>
    </row>
    <row r="44" spans="1:20">
      <c r="A44" s="25" t="s">
        <v>43</v>
      </c>
      <c r="B44" s="75">
        <v>43383.311018518521</v>
      </c>
      <c r="C44" s="29">
        <v>17</v>
      </c>
      <c r="D44" s="14">
        <v>17</v>
      </c>
      <c r="E44" s="30">
        <v>16.899999999999999</v>
      </c>
      <c r="F44" s="35">
        <v>0.75900000000000001</v>
      </c>
      <c r="G44" s="15">
        <v>0.746</v>
      </c>
      <c r="H44" s="36">
        <v>0.73099999999999998</v>
      </c>
      <c r="I44" s="40">
        <f t="shared" si="1"/>
        <v>12.247372604433453</v>
      </c>
      <c r="J44" s="29">
        <v>6222</v>
      </c>
      <c r="K44" s="14">
        <v>8212</v>
      </c>
      <c r="L44" s="30">
        <v>8212</v>
      </c>
      <c r="M44" s="40">
        <f t="shared" si="2"/>
        <v>16.966666666666665</v>
      </c>
      <c r="N44" s="44">
        <f t="shared" si="3"/>
        <v>0.74533333333333329</v>
      </c>
      <c r="O44" s="49">
        <f t="shared" si="4"/>
        <v>-3.3333333333334991E-2</v>
      </c>
      <c r="P44" s="16">
        <f t="shared" si="5"/>
        <v>-3.3333333333334991E-2</v>
      </c>
      <c r="Q44" s="50">
        <f t="shared" si="6"/>
        <v>6.666666666666643E-2</v>
      </c>
      <c r="R44" s="57">
        <f t="shared" si="7"/>
        <v>-1.3666666666666716E-2</v>
      </c>
      <c r="S44" s="17">
        <f t="shared" si="0"/>
        <v>-6.6666666666670427E-4</v>
      </c>
      <c r="T44" s="58">
        <f t="shared" si="8"/>
        <v>1.4333333333333309E-2</v>
      </c>
    </row>
    <row r="45" spans="1:20">
      <c r="A45" s="25" t="s">
        <v>44</v>
      </c>
      <c r="B45" s="75">
        <v>43383.319826388892</v>
      </c>
      <c r="C45" s="29">
        <v>17</v>
      </c>
      <c r="D45" s="14">
        <v>17</v>
      </c>
      <c r="E45" s="30">
        <v>16.899999999999999</v>
      </c>
      <c r="F45" s="35">
        <v>0.76500000000000001</v>
      </c>
      <c r="G45" s="15">
        <v>0.752</v>
      </c>
      <c r="H45" s="36">
        <v>0.73699999999999999</v>
      </c>
      <c r="I45" s="40">
        <f t="shared" si="1"/>
        <v>23.968789013732835</v>
      </c>
      <c r="J45" s="29">
        <v>3469</v>
      </c>
      <c r="K45" s="14">
        <v>4273</v>
      </c>
      <c r="L45" s="30">
        <v>4273</v>
      </c>
      <c r="M45" s="40">
        <f t="shared" si="2"/>
        <v>16.966666666666665</v>
      </c>
      <c r="N45" s="44">
        <f t="shared" si="3"/>
        <v>0.7513333333333333</v>
      </c>
      <c r="O45" s="49">
        <f t="shared" si="4"/>
        <v>-3.3333333333334991E-2</v>
      </c>
      <c r="P45" s="16">
        <f t="shared" si="5"/>
        <v>-3.3333333333334991E-2</v>
      </c>
      <c r="Q45" s="50">
        <f t="shared" si="6"/>
        <v>6.666666666666643E-2</v>
      </c>
      <c r="R45" s="57">
        <f t="shared" si="7"/>
        <v>-1.3666666666666716E-2</v>
      </c>
      <c r="S45" s="17">
        <f t="shared" si="0"/>
        <v>-6.6666666666670427E-4</v>
      </c>
      <c r="T45" s="58">
        <f t="shared" si="8"/>
        <v>1.4333333333333309E-2</v>
      </c>
    </row>
    <row r="46" spans="1:20">
      <c r="A46" s="25" t="s">
        <v>45</v>
      </c>
      <c r="B46" s="75">
        <v>43383.328622685185</v>
      </c>
      <c r="C46" s="29">
        <v>17</v>
      </c>
      <c r="D46" s="14">
        <v>17</v>
      </c>
      <c r="E46" s="30">
        <v>16.899999999999999</v>
      </c>
      <c r="F46" s="35">
        <v>0.76600000000000001</v>
      </c>
      <c r="G46" s="15">
        <v>0.752</v>
      </c>
      <c r="H46" s="36">
        <v>0.73799999999999999</v>
      </c>
      <c r="I46" s="40">
        <f t="shared" si="1"/>
        <v>40.823504809703053</v>
      </c>
      <c r="J46" s="29">
        <v>2161</v>
      </c>
      <c r="K46" s="14">
        <v>2506</v>
      </c>
      <c r="L46" s="30">
        <v>2506</v>
      </c>
      <c r="M46" s="40">
        <f t="shared" si="2"/>
        <v>16.966666666666665</v>
      </c>
      <c r="N46" s="44">
        <f t="shared" si="3"/>
        <v>0.75200000000000011</v>
      </c>
      <c r="O46" s="49">
        <f t="shared" si="4"/>
        <v>-3.3333333333334991E-2</v>
      </c>
      <c r="P46" s="16">
        <f t="shared" si="5"/>
        <v>-3.3333333333334991E-2</v>
      </c>
      <c r="Q46" s="50">
        <f t="shared" si="6"/>
        <v>6.666666666666643E-2</v>
      </c>
      <c r="R46" s="57">
        <f t="shared" si="7"/>
        <v>-1.3999999999999901E-2</v>
      </c>
      <c r="S46" s="17">
        <f t="shared" si="0"/>
        <v>0</v>
      </c>
      <c r="T46" s="58">
        <f t="shared" si="8"/>
        <v>1.4000000000000123E-2</v>
      </c>
    </row>
    <row r="47" spans="1:20">
      <c r="A47" s="25" t="s">
        <v>46</v>
      </c>
      <c r="B47" s="75">
        <v>43383.337453703702</v>
      </c>
      <c r="C47" s="29">
        <v>17</v>
      </c>
      <c r="D47" s="14">
        <v>17</v>
      </c>
      <c r="E47" s="30">
        <v>16.899999999999999</v>
      </c>
      <c r="F47" s="35">
        <v>0.76500000000000001</v>
      </c>
      <c r="G47" s="15">
        <v>0.75</v>
      </c>
      <c r="H47" s="36">
        <v>0.73599999999999999</v>
      </c>
      <c r="I47" s="40">
        <f t="shared" si="1"/>
        <v>62.237774030354132</v>
      </c>
      <c r="J47" s="29">
        <v>1472</v>
      </c>
      <c r="K47" s="14">
        <v>1636</v>
      </c>
      <c r="L47" s="30">
        <v>1636</v>
      </c>
      <c r="M47" s="40">
        <f t="shared" si="2"/>
        <v>16.966666666666665</v>
      </c>
      <c r="N47" s="44">
        <f t="shared" si="3"/>
        <v>0.75033333333333341</v>
      </c>
      <c r="O47" s="49">
        <f t="shared" si="4"/>
        <v>-3.3333333333334991E-2</v>
      </c>
      <c r="P47" s="16">
        <f t="shared" si="5"/>
        <v>-3.3333333333334991E-2</v>
      </c>
      <c r="Q47" s="50">
        <f t="shared" si="6"/>
        <v>6.666666666666643E-2</v>
      </c>
      <c r="R47" s="57">
        <f t="shared" si="7"/>
        <v>-1.4666666666666606E-2</v>
      </c>
      <c r="S47" s="17">
        <f t="shared" si="0"/>
        <v>3.3333333333340764E-4</v>
      </c>
      <c r="T47" s="58">
        <f t="shared" si="8"/>
        <v>1.433333333333342E-2</v>
      </c>
    </row>
    <row r="48" spans="1:20">
      <c r="A48" s="25" t="s">
        <v>47</v>
      </c>
      <c r="B48" s="75">
        <v>43383.346250000002</v>
      </c>
      <c r="C48" s="29">
        <v>17</v>
      </c>
      <c r="D48" s="14">
        <v>17</v>
      </c>
      <c r="E48" s="30">
        <v>16.899999999999999</v>
      </c>
      <c r="F48" s="35">
        <v>0.76300000000000001</v>
      </c>
      <c r="G48" s="15">
        <v>0.749</v>
      </c>
      <c r="H48" s="36">
        <v>0.73399999999999999</v>
      </c>
      <c r="I48" s="40">
        <f t="shared" si="1"/>
        <v>104.41110330288124</v>
      </c>
      <c r="J48" s="29">
        <v>902</v>
      </c>
      <c r="K48" s="14">
        <v>972</v>
      </c>
      <c r="L48" s="30">
        <v>972</v>
      </c>
      <c r="M48" s="40">
        <f t="shared" si="2"/>
        <v>16.966666666666665</v>
      </c>
      <c r="N48" s="44">
        <f t="shared" si="3"/>
        <v>0.7486666666666667</v>
      </c>
      <c r="O48" s="49">
        <f t="shared" si="4"/>
        <v>-3.3333333333334991E-2</v>
      </c>
      <c r="P48" s="16">
        <f t="shared" si="5"/>
        <v>-3.3333333333334991E-2</v>
      </c>
      <c r="Q48" s="50">
        <f t="shared" si="6"/>
        <v>6.666666666666643E-2</v>
      </c>
      <c r="R48" s="57">
        <f t="shared" si="7"/>
        <v>-1.4333333333333309E-2</v>
      </c>
      <c r="S48" s="17">
        <f t="shared" si="0"/>
        <v>-3.3333333333329662E-4</v>
      </c>
      <c r="T48" s="58">
        <f t="shared" si="8"/>
        <v>1.4666666666666717E-2</v>
      </c>
    </row>
    <row r="49" spans="1:20">
      <c r="A49" s="25" t="s">
        <v>48</v>
      </c>
      <c r="B49" s="75">
        <v>43383.355081018519</v>
      </c>
      <c r="C49" s="29">
        <v>17.100000000000001</v>
      </c>
      <c r="D49" s="14">
        <v>17.100000000000001</v>
      </c>
      <c r="E49" s="30">
        <v>17</v>
      </c>
      <c r="F49" s="35">
        <v>0.77500000000000002</v>
      </c>
      <c r="G49" s="15">
        <v>0.75800000000000001</v>
      </c>
      <c r="H49" s="36">
        <v>0.74399999999999999</v>
      </c>
      <c r="I49" s="40">
        <f t="shared" si="1"/>
        <v>165.02102933038185</v>
      </c>
      <c r="J49" s="29">
        <v>581</v>
      </c>
      <c r="K49" s="14">
        <v>613</v>
      </c>
      <c r="L49" s="30">
        <v>613</v>
      </c>
      <c r="M49" s="40">
        <f t="shared" si="2"/>
        <v>17.066666666666666</v>
      </c>
      <c r="N49" s="44">
        <f t="shared" si="3"/>
        <v>0.75900000000000001</v>
      </c>
      <c r="O49" s="49">
        <f t="shared" si="4"/>
        <v>-3.3333333333334991E-2</v>
      </c>
      <c r="P49" s="16">
        <f t="shared" si="5"/>
        <v>-3.3333333333334991E-2</v>
      </c>
      <c r="Q49" s="50">
        <f t="shared" si="6"/>
        <v>6.666666666666643E-2</v>
      </c>
      <c r="R49" s="57">
        <f t="shared" si="7"/>
        <v>-1.6000000000000014E-2</v>
      </c>
      <c r="S49" s="17">
        <f t="shared" si="0"/>
        <v>1.0000000000000009E-3</v>
      </c>
      <c r="T49" s="58">
        <f t="shared" si="8"/>
        <v>1.5000000000000013E-2</v>
      </c>
    </row>
    <row r="50" spans="1:20">
      <c r="A50" s="25" t="s">
        <v>49</v>
      </c>
      <c r="B50" s="75">
        <v>43383.363877314812</v>
      </c>
      <c r="C50" s="29">
        <v>17.2</v>
      </c>
      <c r="D50" s="14">
        <v>17.2</v>
      </c>
      <c r="E50" s="30">
        <v>17.100000000000001</v>
      </c>
      <c r="F50" s="35">
        <v>0.77600000000000002</v>
      </c>
      <c r="G50" s="15">
        <v>0.76300000000000001</v>
      </c>
      <c r="H50" s="36">
        <v>0.749</v>
      </c>
      <c r="I50" s="40">
        <f t="shared" si="1"/>
        <v>219.75055187637969</v>
      </c>
      <c r="J50" s="29">
        <v>451</v>
      </c>
      <c r="K50" s="14">
        <v>454</v>
      </c>
      <c r="L50" s="30">
        <v>454</v>
      </c>
      <c r="M50" s="40">
        <f t="shared" si="2"/>
        <v>17.166666666666668</v>
      </c>
      <c r="N50" s="44">
        <f t="shared" si="3"/>
        <v>0.76266666666666671</v>
      </c>
      <c r="O50" s="49">
        <f t="shared" si="4"/>
        <v>-3.3333333333331439E-2</v>
      </c>
      <c r="P50" s="16">
        <f t="shared" si="5"/>
        <v>-3.3333333333331439E-2</v>
      </c>
      <c r="Q50" s="50">
        <f t="shared" si="6"/>
        <v>6.666666666666643E-2</v>
      </c>
      <c r="R50" s="57">
        <f t="shared" si="7"/>
        <v>-1.3333333333333308E-2</v>
      </c>
      <c r="S50" s="17">
        <f t="shared" si="0"/>
        <v>-3.3333333333329662E-4</v>
      </c>
      <c r="T50" s="58">
        <f t="shared" si="8"/>
        <v>1.3666666666666716E-2</v>
      </c>
    </row>
    <row r="51" spans="1:20">
      <c r="A51" s="25" t="s">
        <v>50</v>
      </c>
      <c r="B51" s="75">
        <v>43383.372673611113</v>
      </c>
      <c r="C51" s="29">
        <v>17.3</v>
      </c>
      <c r="D51" s="14">
        <v>17.3</v>
      </c>
      <c r="E51" s="30">
        <v>17.2</v>
      </c>
      <c r="F51" s="35">
        <v>0.77</v>
      </c>
      <c r="G51" s="15">
        <v>0.75600000000000001</v>
      </c>
      <c r="H51" s="36">
        <v>0.74199999999999999</v>
      </c>
      <c r="I51" s="40">
        <f t="shared" si="1"/>
        <v>242.50649350649348</v>
      </c>
      <c r="J51" s="29">
        <v>404</v>
      </c>
      <c r="K51" s="14">
        <v>414</v>
      </c>
      <c r="L51" s="30">
        <v>414</v>
      </c>
      <c r="M51" s="40">
        <f t="shared" si="2"/>
        <v>17.266666666666666</v>
      </c>
      <c r="N51" s="44">
        <f t="shared" si="3"/>
        <v>0.75599999999999989</v>
      </c>
      <c r="O51" s="49">
        <f t="shared" si="4"/>
        <v>-3.3333333333334991E-2</v>
      </c>
      <c r="P51" s="16">
        <f t="shared" si="5"/>
        <v>-3.3333333333334991E-2</v>
      </c>
      <c r="Q51" s="50">
        <f t="shared" si="6"/>
        <v>6.666666666666643E-2</v>
      </c>
      <c r="R51" s="57">
        <f t="shared" si="7"/>
        <v>-1.4000000000000123E-2</v>
      </c>
      <c r="S51" s="17">
        <f t="shared" si="0"/>
        <v>0</v>
      </c>
      <c r="T51" s="58">
        <f t="shared" si="8"/>
        <v>1.3999999999999901E-2</v>
      </c>
    </row>
    <row r="52" spans="1:20">
      <c r="A52" s="25" t="s">
        <v>51</v>
      </c>
      <c r="B52" s="75">
        <v>43383.381481481483</v>
      </c>
      <c r="C52" s="29">
        <v>17.399999999999999</v>
      </c>
      <c r="D52" s="14">
        <v>17.399999999999999</v>
      </c>
      <c r="E52" s="30">
        <v>17.3</v>
      </c>
      <c r="F52" s="35">
        <v>0.76200000000000001</v>
      </c>
      <c r="G52" s="15">
        <v>0.746</v>
      </c>
      <c r="H52" s="36">
        <v>0.73399999999999999</v>
      </c>
      <c r="I52" s="40">
        <f t="shared" si="1"/>
        <v>263.31718061674007</v>
      </c>
      <c r="J52" s="29">
        <v>375</v>
      </c>
      <c r="K52" s="14">
        <v>380</v>
      </c>
      <c r="L52" s="30">
        <v>380</v>
      </c>
      <c r="M52" s="40">
        <f t="shared" si="2"/>
        <v>17.366666666666664</v>
      </c>
      <c r="N52" s="44">
        <f t="shared" si="3"/>
        <v>0.74733333333333329</v>
      </c>
      <c r="O52" s="49">
        <f t="shared" si="4"/>
        <v>-3.3333333333334991E-2</v>
      </c>
      <c r="P52" s="16">
        <f t="shared" si="5"/>
        <v>-3.3333333333334991E-2</v>
      </c>
      <c r="Q52" s="50">
        <f t="shared" si="6"/>
        <v>6.6666666666662877E-2</v>
      </c>
      <c r="R52" s="57">
        <f t="shared" si="7"/>
        <v>-1.4666666666666717E-2</v>
      </c>
      <c r="S52" s="17">
        <f t="shared" si="0"/>
        <v>1.3333333333332975E-3</v>
      </c>
      <c r="T52" s="58">
        <f t="shared" si="8"/>
        <v>1.3333333333333308E-2</v>
      </c>
    </row>
    <row r="53" spans="1:20">
      <c r="A53" s="25" t="s">
        <v>52</v>
      </c>
      <c r="B53" s="75">
        <v>43383.390277777777</v>
      </c>
      <c r="C53" s="29">
        <v>17.399999999999999</v>
      </c>
      <c r="D53" s="14">
        <v>17.5</v>
      </c>
      <c r="E53" s="30">
        <v>17.399999999999999</v>
      </c>
      <c r="F53" s="35">
        <v>0.75600000000000001</v>
      </c>
      <c r="G53" s="15">
        <v>0.74099999999999999</v>
      </c>
      <c r="H53" s="36">
        <v>0.72899999999999998</v>
      </c>
      <c r="I53" s="40">
        <f t="shared" si="1"/>
        <v>274.73529411764707</v>
      </c>
      <c r="J53" s="29">
        <v>352</v>
      </c>
      <c r="K53" s="14">
        <v>368</v>
      </c>
      <c r="L53" s="30">
        <v>368</v>
      </c>
      <c r="M53" s="40">
        <f t="shared" si="2"/>
        <v>17.433333333333334</v>
      </c>
      <c r="N53" s="44">
        <f t="shared" si="3"/>
        <v>0.74199999999999999</v>
      </c>
      <c r="O53" s="49">
        <f t="shared" si="4"/>
        <v>3.3333333333334991E-2</v>
      </c>
      <c r="P53" s="16">
        <f t="shared" si="5"/>
        <v>-6.666666666666643E-2</v>
      </c>
      <c r="Q53" s="50">
        <f t="shared" si="6"/>
        <v>3.3333333333334991E-2</v>
      </c>
      <c r="R53" s="57">
        <f t="shared" si="7"/>
        <v>-1.4000000000000012E-2</v>
      </c>
      <c r="S53" s="17">
        <f t="shared" si="0"/>
        <v>1.0000000000000009E-3</v>
      </c>
      <c r="T53" s="58">
        <f t="shared" si="8"/>
        <v>1.3000000000000012E-2</v>
      </c>
    </row>
    <row r="54" spans="1:20">
      <c r="A54" s="25" t="s">
        <v>53</v>
      </c>
      <c r="B54" s="75">
        <v>43383.399108796293</v>
      </c>
      <c r="C54" s="29">
        <v>17.5</v>
      </c>
      <c r="D54" s="14">
        <v>17.5</v>
      </c>
      <c r="E54" s="30">
        <v>17.399999999999999</v>
      </c>
      <c r="F54" s="35">
        <v>0.73799999999999999</v>
      </c>
      <c r="G54" s="15">
        <v>0.72199999999999998</v>
      </c>
      <c r="H54" s="36">
        <v>0.71</v>
      </c>
      <c r="I54" s="40">
        <f t="shared" si="1"/>
        <v>314.45741324921136</v>
      </c>
      <c r="J54" s="29">
        <v>303</v>
      </c>
      <c r="K54" s="14">
        <v>324</v>
      </c>
      <c r="L54" s="30">
        <v>324</v>
      </c>
      <c r="M54" s="40">
        <f t="shared" si="2"/>
        <v>17.466666666666665</v>
      </c>
      <c r="N54" s="44">
        <f t="shared" si="3"/>
        <v>0.72333333333333327</v>
      </c>
      <c r="O54" s="49">
        <f t="shared" si="4"/>
        <v>-3.3333333333334991E-2</v>
      </c>
      <c r="P54" s="16">
        <f t="shared" si="5"/>
        <v>-3.3333333333334991E-2</v>
      </c>
      <c r="Q54" s="50">
        <f t="shared" si="6"/>
        <v>6.666666666666643E-2</v>
      </c>
      <c r="R54" s="57">
        <f t="shared" si="7"/>
        <v>-1.4666666666666717E-2</v>
      </c>
      <c r="S54" s="17">
        <f t="shared" si="0"/>
        <v>1.3333333333332975E-3</v>
      </c>
      <c r="T54" s="58">
        <f t="shared" si="8"/>
        <v>1.3333333333333308E-2</v>
      </c>
    </row>
    <row r="55" spans="1:20">
      <c r="A55" s="25" t="s">
        <v>54</v>
      </c>
      <c r="B55" s="75">
        <v>43383.407905092594</v>
      </c>
      <c r="C55" s="29">
        <v>17.5</v>
      </c>
      <c r="D55" s="14">
        <v>17.5</v>
      </c>
      <c r="E55" s="30">
        <v>17.399999999999999</v>
      </c>
      <c r="F55" s="35">
        <v>0.71199999999999997</v>
      </c>
      <c r="G55" s="15">
        <v>0.69699999999999995</v>
      </c>
      <c r="H55" s="36">
        <v>0.68400000000000005</v>
      </c>
      <c r="I55" s="40">
        <f t="shared" si="1"/>
        <v>655.45514223194743</v>
      </c>
      <c r="J55" s="29">
        <v>145</v>
      </c>
      <c r="K55" s="14">
        <v>156</v>
      </c>
      <c r="L55" s="30">
        <v>156</v>
      </c>
      <c r="M55" s="40">
        <f t="shared" si="2"/>
        <v>17.466666666666665</v>
      </c>
      <c r="N55" s="44">
        <f t="shared" si="3"/>
        <v>0.69766666666666666</v>
      </c>
      <c r="O55" s="49">
        <f t="shared" si="4"/>
        <v>-3.3333333333334991E-2</v>
      </c>
      <c r="P55" s="16">
        <f t="shared" si="5"/>
        <v>-3.3333333333334991E-2</v>
      </c>
      <c r="Q55" s="50">
        <f t="shared" si="6"/>
        <v>6.666666666666643E-2</v>
      </c>
      <c r="R55" s="57">
        <f t="shared" si="7"/>
        <v>-1.4333333333333309E-2</v>
      </c>
      <c r="S55" s="17">
        <f t="shared" si="0"/>
        <v>6.6666666666670427E-4</v>
      </c>
      <c r="T55" s="58">
        <f t="shared" si="8"/>
        <v>1.3666666666666605E-2</v>
      </c>
    </row>
    <row r="56" spans="1:20">
      <c r="A56" s="25" t="s">
        <v>55</v>
      </c>
      <c r="B56" s="75">
        <v>43383.41673611111</v>
      </c>
      <c r="C56" s="29">
        <v>17.5</v>
      </c>
      <c r="D56" s="14">
        <v>18</v>
      </c>
      <c r="E56" s="30">
        <v>17.5</v>
      </c>
      <c r="F56" s="35">
        <v>0.69299999999999995</v>
      </c>
      <c r="G56" s="15">
        <v>0.66</v>
      </c>
      <c r="H56" s="36">
        <v>0.65900000000000003</v>
      </c>
      <c r="I56" s="40">
        <f t="shared" si="1"/>
        <v>311.5</v>
      </c>
      <c r="J56" s="29">
        <v>282</v>
      </c>
      <c r="K56" s="14">
        <v>339</v>
      </c>
      <c r="L56" s="30">
        <v>339</v>
      </c>
      <c r="M56" s="40">
        <f t="shared" si="2"/>
        <v>17.666666666666668</v>
      </c>
      <c r="N56" s="44">
        <f t="shared" si="3"/>
        <v>0.67066666666666663</v>
      </c>
      <c r="O56" s="49">
        <f t="shared" si="4"/>
        <v>0.16666666666666785</v>
      </c>
      <c r="P56" s="16">
        <f t="shared" si="5"/>
        <v>-0.33333333333333215</v>
      </c>
      <c r="Q56" s="50">
        <f t="shared" si="6"/>
        <v>0.16666666666666785</v>
      </c>
      <c r="R56" s="57">
        <f t="shared" si="7"/>
        <v>-2.2333333333333316E-2</v>
      </c>
      <c r="S56" s="17">
        <f t="shared" si="0"/>
        <v>1.0666666666666602E-2</v>
      </c>
      <c r="T56" s="58">
        <f t="shared" si="8"/>
        <v>1.1666666666666603E-2</v>
      </c>
    </row>
    <row r="57" spans="1:20">
      <c r="A57" s="25" t="s">
        <v>56</v>
      </c>
      <c r="B57" s="75">
        <v>43383.425532407404</v>
      </c>
      <c r="C57" s="29">
        <v>17.399999999999999</v>
      </c>
      <c r="D57" s="14">
        <v>17.8</v>
      </c>
      <c r="E57" s="30">
        <v>17.600000000000001</v>
      </c>
      <c r="F57" s="35">
        <v>0.68300000000000005</v>
      </c>
      <c r="G57" s="15">
        <v>0.65500000000000003</v>
      </c>
      <c r="H57" s="36">
        <v>0.64700000000000002</v>
      </c>
      <c r="I57" s="40">
        <f t="shared" si="1"/>
        <v>217.02325581395348</v>
      </c>
      <c r="J57" s="29">
        <v>440</v>
      </c>
      <c r="K57" s="14">
        <v>468</v>
      </c>
      <c r="L57" s="30">
        <v>468</v>
      </c>
      <c r="M57" s="40">
        <f t="shared" si="2"/>
        <v>17.600000000000001</v>
      </c>
      <c r="N57" s="44">
        <f t="shared" si="3"/>
        <v>0.66166666666666674</v>
      </c>
      <c r="O57" s="49">
        <f t="shared" si="4"/>
        <v>0.20000000000000284</v>
      </c>
      <c r="P57" s="16">
        <f t="shared" si="5"/>
        <v>-0.19999999999999929</v>
      </c>
      <c r="Q57" s="50">
        <f t="shared" si="6"/>
        <v>0</v>
      </c>
      <c r="R57" s="57">
        <f t="shared" si="7"/>
        <v>-2.1333333333333315E-2</v>
      </c>
      <c r="S57" s="17">
        <f t="shared" si="0"/>
        <v>6.6666666666667096E-3</v>
      </c>
      <c r="T57" s="58">
        <f t="shared" si="8"/>
        <v>1.4666666666666717E-2</v>
      </c>
    </row>
    <row r="58" spans="1:20">
      <c r="A58" s="25" t="s">
        <v>57</v>
      </c>
      <c r="B58" s="75">
        <v>43383.434328703705</v>
      </c>
      <c r="C58" s="29">
        <v>17.399999999999999</v>
      </c>
      <c r="D58" s="14">
        <v>17.600000000000001</v>
      </c>
      <c r="E58" s="30">
        <v>17.399999999999999</v>
      </c>
      <c r="F58" s="35">
        <v>0.67700000000000005</v>
      </c>
      <c r="G58" s="15">
        <v>0.65500000000000003</v>
      </c>
      <c r="H58" s="36">
        <v>0.64300000000000002</v>
      </c>
      <c r="I58" s="40">
        <f t="shared" si="1"/>
        <v>215.13832853025934</v>
      </c>
      <c r="J58" s="29">
        <v>430</v>
      </c>
      <c r="K58" s="14">
        <v>479</v>
      </c>
      <c r="L58" s="30">
        <v>479</v>
      </c>
      <c r="M58" s="40">
        <f t="shared" si="2"/>
        <v>17.466666666666665</v>
      </c>
      <c r="N58" s="44">
        <f t="shared" si="3"/>
        <v>0.65833333333333333</v>
      </c>
      <c r="O58" s="49">
        <f t="shared" si="4"/>
        <v>6.666666666666643E-2</v>
      </c>
      <c r="P58" s="16">
        <f t="shared" si="5"/>
        <v>-0.13333333333333641</v>
      </c>
      <c r="Q58" s="50">
        <f t="shared" si="6"/>
        <v>6.666666666666643E-2</v>
      </c>
      <c r="R58" s="57">
        <f t="shared" si="7"/>
        <v>-1.866666666666672E-2</v>
      </c>
      <c r="S58" s="17">
        <f t="shared" si="0"/>
        <v>3.3333333333332993E-3</v>
      </c>
      <c r="T58" s="58">
        <f t="shared" si="8"/>
        <v>1.533333333333331E-2</v>
      </c>
    </row>
    <row r="59" spans="1:20">
      <c r="A59" s="25" t="s">
        <v>58</v>
      </c>
      <c r="B59" s="75">
        <v>43383.443124999998</v>
      </c>
      <c r="C59" s="29">
        <v>17.399999999999999</v>
      </c>
      <c r="D59" s="14">
        <v>17.600000000000001</v>
      </c>
      <c r="E59" s="30">
        <v>17.600000000000001</v>
      </c>
      <c r="F59" s="35">
        <v>0.67400000000000004</v>
      </c>
      <c r="G59" s="15">
        <v>0.65200000000000002</v>
      </c>
      <c r="H59" s="36">
        <v>0.63300000000000001</v>
      </c>
      <c r="I59" s="40">
        <f t="shared" si="1"/>
        <v>209.23125437981778</v>
      </c>
      <c r="J59" s="29">
        <v>453</v>
      </c>
      <c r="K59" s="14">
        <v>487</v>
      </c>
      <c r="L59" s="30">
        <v>487</v>
      </c>
      <c r="M59" s="40">
        <f t="shared" si="2"/>
        <v>17.533333333333335</v>
      </c>
      <c r="N59" s="44">
        <f t="shared" si="3"/>
        <v>0.65300000000000002</v>
      </c>
      <c r="O59" s="49">
        <f t="shared" si="4"/>
        <v>0.13333333333333641</v>
      </c>
      <c r="P59" s="16">
        <f t="shared" si="5"/>
        <v>-6.666666666666643E-2</v>
      </c>
      <c r="Q59" s="50">
        <f t="shared" si="6"/>
        <v>-6.666666666666643E-2</v>
      </c>
      <c r="R59" s="57">
        <f t="shared" si="7"/>
        <v>-2.1000000000000019E-2</v>
      </c>
      <c r="S59" s="17">
        <f t="shared" si="0"/>
        <v>1.0000000000000009E-3</v>
      </c>
      <c r="T59" s="58">
        <f t="shared" si="8"/>
        <v>2.0000000000000018E-2</v>
      </c>
    </row>
    <row r="60" spans="1:20">
      <c r="A60" s="25" t="s">
        <v>59</v>
      </c>
      <c r="B60" s="75">
        <v>43383.451921296299</v>
      </c>
      <c r="C60" s="29">
        <v>17.399999999999999</v>
      </c>
      <c r="D60" s="14">
        <v>17.5</v>
      </c>
      <c r="E60" s="30">
        <v>17.5</v>
      </c>
      <c r="F60" s="35">
        <v>0.66400000000000003</v>
      </c>
      <c r="G60" s="15">
        <v>0.64600000000000002</v>
      </c>
      <c r="H60" s="36">
        <v>0.627</v>
      </c>
      <c r="I60" s="40">
        <f t="shared" si="1"/>
        <v>185.79950186799502</v>
      </c>
      <c r="J60" s="29">
        <v>504</v>
      </c>
      <c r="K60" s="14">
        <v>551</v>
      </c>
      <c r="L60" s="30">
        <v>551</v>
      </c>
      <c r="M60" s="40">
        <f t="shared" si="2"/>
        <v>17.466666666666665</v>
      </c>
      <c r="N60" s="44">
        <f t="shared" si="3"/>
        <v>0.64566666666666672</v>
      </c>
      <c r="O60" s="49">
        <f t="shared" si="4"/>
        <v>6.666666666666643E-2</v>
      </c>
      <c r="P60" s="16">
        <f t="shared" si="5"/>
        <v>-3.3333333333334991E-2</v>
      </c>
      <c r="Q60" s="50">
        <f t="shared" si="6"/>
        <v>-3.3333333333334991E-2</v>
      </c>
      <c r="R60" s="57">
        <f t="shared" si="7"/>
        <v>-1.8333333333333313E-2</v>
      </c>
      <c r="S60" s="17">
        <f t="shared" si="0"/>
        <v>-3.3333333333329662E-4</v>
      </c>
      <c r="T60" s="58">
        <f t="shared" si="8"/>
        <v>1.866666666666672E-2</v>
      </c>
    </row>
    <row r="61" spans="1:20">
      <c r="A61" s="25" t="s">
        <v>60</v>
      </c>
      <c r="B61" s="75">
        <v>43383.460729166669</v>
      </c>
      <c r="C61" s="29">
        <v>17.3</v>
      </c>
      <c r="D61" s="14">
        <v>17.399999999999999</v>
      </c>
      <c r="E61" s="30">
        <v>17.3</v>
      </c>
      <c r="F61" s="35">
        <v>0.66</v>
      </c>
      <c r="G61" s="15">
        <v>0.64200000000000002</v>
      </c>
      <c r="H61" s="36">
        <v>0.625</v>
      </c>
      <c r="I61" s="40">
        <f t="shared" si="1"/>
        <v>211.91696238466997</v>
      </c>
      <c r="J61" s="29">
        <v>405</v>
      </c>
      <c r="K61" s="14">
        <v>502</v>
      </c>
      <c r="L61" s="30">
        <v>502</v>
      </c>
      <c r="M61" s="40">
        <f t="shared" si="2"/>
        <v>17.333333333333332</v>
      </c>
      <c r="N61" s="44">
        <f t="shared" si="3"/>
        <v>0.64233333333333331</v>
      </c>
      <c r="O61" s="49">
        <f t="shared" si="4"/>
        <v>3.3333333333331439E-2</v>
      </c>
      <c r="P61" s="16">
        <f t="shared" si="5"/>
        <v>-6.666666666666643E-2</v>
      </c>
      <c r="Q61" s="50">
        <f t="shared" si="6"/>
        <v>3.3333333333331439E-2</v>
      </c>
      <c r="R61" s="57">
        <f t="shared" si="7"/>
        <v>-1.7666666666666719E-2</v>
      </c>
      <c r="S61" s="17">
        <f t="shared" si="0"/>
        <v>3.3333333333329662E-4</v>
      </c>
      <c r="T61" s="58">
        <f t="shared" si="8"/>
        <v>1.7333333333333312E-2</v>
      </c>
    </row>
    <row r="62" spans="1:20">
      <c r="A62" s="25" t="s">
        <v>61</v>
      </c>
      <c r="B62" s="75">
        <v>43383.469525462962</v>
      </c>
      <c r="C62" s="29">
        <v>17.399999999999999</v>
      </c>
      <c r="D62" s="14">
        <v>17.399999999999999</v>
      </c>
      <c r="E62" s="30">
        <v>17.3</v>
      </c>
      <c r="F62" s="35">
        <v>0.66</v>
      </c>
      <c r="G62" s="15">
        <v>0.64400000000000002</v>
      </c>
      <c r="H62" s="36">
        <v>0.626</v>
      </c>
      <c r="I62" s="40">
        <f t="shared" si="1"/>
        <v>189.59720457433292</v>
      </c>
      <c r="J62" s="29">
        <v>500</v>
      </c>
      <c r="K62" s="14">
        <v>537</v>
      </c>
      <c r="L62" s="30">
        <v>537</v>
      </c>
      <c r="M62" s="40">
        <f t="shared" si="2"/>
        <v>17.366666666666664</v>
      </c>
      <c r="N62" s="44">
        <f t="shared" si="3"/>
        <v>0.64333333333333342</v>
      </c>
      <c r="O62" s="49">
        <f t="shared" si="4"/>
        <v>-3.3333333333334991E-2</v>
      </c>
      <c r="P62" s="16">
        <f t="shared" si="5"/>
        <v>-3.3333333333334991E-2</v>
      </c>
      <c r="Q62" s="50">
        <f t="shared" si="6"/>
        <v>6.6666666666662877E-2</v>
      </c>
      <c r="R62" s="57">
        <f t="shared" si="7"/>
        <v>-1.6666666666666607E-2</v>
      </c>
      <c r="S62" s="17">
        <f t="shared" si="0"/>
        <v>-6.6666666666659324E-4</v>
      </c>
      <c r="T62" s="58">
        <f t="shared" si="8"/>
        <v>1.7333333333333423E-2</v>
      </c>
    </row>
    <row r="63" spans="1:20">
      <c r="A63" s="25" t="s">
        <v>62</v>
      </c>
      <c r="B63" s="75">
        <v>43383.478321759256</v>
      </c>
      <c r="C63" s="29">
        <v>17.3</v>
      </c>
      <c r="D63" s="14">
        <v>17.399999999999999</v>
      </c>
      <c r="E63" s="30">
        <v>17.3</v>
      </c>
      <c r="F63" s="35">
        <v>0.65200000000000002</v>
      </c>
      <c r="G63" s="15">
        <v>0.63500000000000001</v>
      </c>
      <c r="H63" s="36">
        <v>0.61799999999999999</v>
      </c>
      <c r="I63" s="40">
        <f t="shared" si="1"/>
        <v>170.42857142857142</v>
      </c>
      <c r="J63" s="29">
        <v>550</v>
      </c>
      <c r="K63" s="14">
        <v>600</v>
      </c>
      <c r="L63" s="30">
        <v>600</v>
      </c>
      <c r="M63" s="40">
        <f t="shared" si="2"/>
        <v>17.333333333333332</v>
      </c>
      <c r="N63" s="44">
        <f t="shared" si="3"/>
        <v>0.6349999999999999</v>
      </c>
      <c r="O63" s="49">
        <f t="shared" si="4"/>
        <v>3.3333333333331439E-2</v>
      </c>
      <c r="P63" s="16">
        <f t="shared" si="5"/>
        <v>-6.666666666666643E-2</v>
      </c>
      <c r="Q63" s="50">
        <f t="shared" si="6"/>
        <v>3.3333333333331439E-2</v>
      </c>
      <c r="R63" s="57">
        <f t="shared" si="7"/>
        <v>-1.7000000000000126E-2</v>
      </c>
      <c r="S63" s="17">
        <f t="shared" si="0"/>
        <v>0</v>
      </c>
      <c r="T63" s="58">
        <f t="shared" si="8"/>
        <v>1.6999999999999904E-2</v>
      </c>
    </row>
    <row r="64" spans="1:20">
      <c r="A64" s="25" t="s">
        <v>63</v>
      </c>
      <c r="B64" s="75">
        <v>43383.487118055556</v>
      </c>
      <c r="C64" s="29">
        <v>17.3</v>
      </c>
      <c r="D64" s="14">
        <v>17.399999999999999</v>
      </c>
      <c r="E64" s="30">
        <v>17.3</v>
      </c>
      <c r="F64" s="35">
        <v>0.64500000000000002</v>
      </c>
      <c r="G64" s="15">
        <v>0.628</v>
      </c>
      <c r="H64" s="36">
        <v>0.61099999999999999</v>
      </c>
      <c r="I64" s="40">
        <f t="shared" si="1"/>
        <v>187.91687657430728</v>
      </c>
      <c r="J64" s="29">
        <v>542</v>
      </c>
      <c r="K64" s="14">
        <v>523</v>
      </c>
      <c r="L64" s="30">
        <v>523</v>
      </c>
      <c r="M64" s="40">
        <f t="shared" si="2"/>
        <v>17.333333333333332</v>
      </c>
      <c r="N64" s="44">
        <f t="shared" si="3"/>
        <v>0.628</v>
      </c>
      <c r="O64" s="49">
        <f t="shared" si="4"/>
        <v>3.3333333333331439E-2</v>
      </c>
      <c r="P64" s="16">
        <f t="shared" si="5"/>
        <v>-6.666666666666643E-2</v>
      </c>
      <c r="Q64" s="50">
        <f t="shared" si="6"/>
        <v>3.3333333333331439E-2</v>
      </c>
      <c r="R64" s="57">
        <f t="shared" si="7"/>
        <v>-1.7000000000000015E-2</v>
      </c>
      <c r="S64" s="17">
        <f t="shared" si="0"/>
        <v>0</v>
      </c>
      <c r="T64" s="58">
        <f t="shared" si="8"/>
        <v>1.7000000000000015E-2</v>
      </c>
    </row>
    <row r="65" spans="1:20">
      <c r="A65" s="25" t="s">
        <v>64</v>
      </c>
      <c r="B65" s="75">
        <v>43383.49591435185</v>
      </c>
      <c r="C65" s="29">
        <v>17.399999999999999</v>
      </c>
      <c r="D65" s="14">
        <v>17.5</v>
      </c>
      <c r="E65" s="30">
        <v>17.399999999999999</v>
      </c>
      <c r="F65" s="35">
        <v>0.64200000000000002</v>
      </c>
      <c r="G65" s="15">
        <v>0.625</v>
      </c>
      <c r="H65" s="36">
        <v>0.60699999999999998</v>
      </c>
      <c r="I65" s="40">
        <f t="shared" si="1"/>
        <v>175.3668430335097</v>
      </c>
      <c r="J65" s="29">
        <v>539</v>
      </c>
      <c r="K65" s="14">
        <v>581</v>
      </c>
      <c r="L65" s="30">
        <v>581</v>
      </c>
      <c r="M65" s="40">
        <f t="shared" si="2"/>
        <v>17.433333333333334</v>
      </c>
      <c r="N65" s="44">
        <f t="shared" si="3"/>
        <v>0.62466666666666659</v>
      </c>
      <c r="O65" s="49">
        <f t="shared" si="4"/>
        <v>3.3333333333334991E-2</v>
      </c>
      <c r="P65" s="16">
        <f t="shared" si="5"/>
        <v>-6.666666666666643E-2</v>
      </c>
      <c r="Q65" s="50">
        <f t="shared" si="6"/>
        <v>3.3333333333334991E-2</v>
      </c>
      <c r="R65" s="57">
        <f t="shared" si="7"/>
        <v>-1.7333333333333423E-2</v>
      </c>
      <c r="S65" s="17">
        <f t="shared" si="0"/>
        <v>-3.3333333333340764E-4</v>
      </c>
      <c r="T65" s="58">
        <f t="shared" si="8"/>
        <v>1.7666666666666608E-2</v>
      </c>
    </row>
    <row r="66" spans="1:20">
      <c r="A66" s="25" t="s">
        <v>65</v>
      </c>
      <c r="B66" s="75">
        <v>43383.50472222222</v>
      </c>
      <c r="C66" s="29">
        <v>17.399999999999999</v>
      </c>
      <c r="D66" s="14">
        <v>17.399999999999999</v>
      </c>
      <c r="E66" s="30">
        <v>17.399999999999999</v>
      </c>
      <c r="F66" s="35">
        <v>0.63600000000000001</v>
      </c>
      <c r="G66" s="15">
        <v>0.61899999999999999</v>
      </c>
      <c r="H66" s="36">
        <v>0.60099999999999998</v>
      </c>
      <c r="I66" s="40">
        <f t="shared" si="1"/>
        <v>186.03241895261846</v>
      </c>
      <c r="J66" s="29">
        <v>506</v>
      </c>
      <c r="K66" s="14">
        <v>549</v>
      </c>
      <c r="L66" s="30">
        <v>549</v>
      </c>
      <c r="M66" s="40">
        <f t="shared" si="2"/>
        <v>17.399999999999999</v>
      </c>
      <c r="N66" s="44">
        <f t="shared" si="3"/>
        <v>0.61866666666666659</v>
      </c>
      <c r="O66" s="49">
        <f t="shared" si="4"/>
        <v>0</v>
      </c>
      <c r="P66" s="16">
        <f t="shared" si="5"/>
        <v>0</v>
      </c>
      <c r="Q66" s="50">
        <f t="shared" si="6"/>
        <v>0</v>
      </c>
      <c r="R66" s="57">
        <f t="shared" si="7"/>
        <v>-1.7333333333333423E-2</v>
      </c>
      <c r="S66" s="17">
        <f t="shared" ref="S66:S129" si="9">N66-G66</f>
        <v>-3.3333333333340764E-4</v>
      </c>
      <c r="T66" s="58">
        <f t="shared" si="8"/>
        <v>1.7666666666666608E-2</v>
      </c>
    </row>
    <row r="67" spans="1:20">
      <c r="A67" s="25" t="s">
        <v>66</v>
      </c>
      <c r="B67" s="75">
        <v>43383.513518518521</v>
      </c>
      <c r="C67" s="29">
        <v>17.399999999999999</v>
      </c>
      <c r="D67" s="14">
        <v>17.399999999999999</v>
      </c>
      <c r="E67" s="30">
        <v>17.3</v>
      </c>
      <c r="F67" s="35">
        <v>0.627</v>
      </c>
      <c r="G67" s="15">
        <v>0.61099999999999999</v>
      </c>
      <c r="H67" s="36">
        <v>0.59499999999999997</v>
      </c>
      <c r="I67" s="40">
        <f t="shared" ref="I67:I130" si="10">100000/AVERAGE(J67:L67)-1</f>
        <v>240.54589371980677</v>
      </c>
      <c r="J67" s="29">
        <v>472</v>
      </c>
      <c r="K67" s="14">
        <v>385</v>
      </c>
      <c r="L67" s="30">
        <v>385</v>
      </c>
      <c r="M67" s="40">
        <f t="shared" ref="M67:M130" si="11">AVERAGE(C67:E67)</f>
        <v>17.366666666666664</v>
      </c>
      <c r="N67" s="44">
        <f t="shared" ref="N67:N130" si="12">AVERAGE(F67:H67)</f>
        <v>0.61099999999999999</v>
      </c>
      <c r="O67" s="49">
        <f t="shared" ref="O67:O130" si="13">M67-C67</f>
        <v>-3.3333333333334991E-2</v>
      </c>
      <c r="P67" s="16">
        <f t="shared" ref="P67:P130" si="14">M67-D67</f>
        <v>-3.3333333333334991E-2</v>
      </c>
      <c r="Q67" s="50">
        <f t="shared" ref="Q67:Q130" si="15">M67-E67</f>
        <v>6.6666666666662877E-2</v>
      </c>
      <c r="R67" s="57">
        <f t="shared" ref="R67:R130" si="16">N67-F67</f>
        <v>-1.6000000000000014E-2</v>
      </c>
      <c r="S67" s="17">
        <f t="shared" si="9"/>
        <v>0</v>
      </c>
      <c r="T67" s="58">
        <f t="shared" ref="T67:T130" si="17">N67-H67</f>
        <v>1.6000000000000014E-2</v>
      </c>
    </row>
    <row r="68" spans="1:20">
      <c r="A68" s="25" t="s">
        <v>67</v>
      </c>
      <c r="B68" s="75">
        <v>43383.522314814814</v>
      </c>
      <c r="C68" s="29">
        <v>17.600000000000001</v>
      </c>
      <c r="D68" s="14">
        <v>17.5</v>
      </c>
      <c r="E68" s="30">
        <v>17.5</v>
      </c>
      <c r="F68" s="35">
        <v>0.61099999999999999</v>
      </c>
      <c r="G68" s="15">
        <v>0.60299999999999998</v>
      </c>
      <c r="H68" s="36">
        <v>0.58699999999999997</v>
      </c>
      <c r="I68" s="40">
        <f t="shared" si="10"/>
        <v>186.85222291797118</v>
      </c>
      <c r="J68" s="29">
        <v>509</v>
      </c>
      <c r="K68" s="14">
        <v>544</v>
      </c>
      <c r="L68" s="30">
        <v>544</v>
      </c>
      <c r="M68" s="40">
        <f t="shared" si="11"/>
        <v>17.533333333333335</v>
      </c>
      <c r="N68" s="44">
        <f t="shared" si="12"/>
        <v>0.60033333333333327</v>
      </c>
      <c r="O68" s="49">
        <f t="shared" si="13"/>
        <v>-6.666666666666643E-2</v>
      </c>
      <c r="P68" s="16">
        <f t="shared" si="14"/>
        <v>3.3333333333334991E-2</v>
      </c>
      <c r="Q68" s="50">
        <f t="shared" si="15"/>
        <v>3.3333333333334991E-2</v>
      </c>
      <c r="R68" s="57">
        <f t="shared" si="16"/>
        <v>-1.0666666666666713E-2</v>
      </c>
      <c r="S68" s="17">
        <f t="shared" si="9"/>
        <v>-2.666666666666706E-3</v>
      </c>
      <c r="T68" s="58">
        <f t="shared" si="17"/>
        <v>1.3333333333333308E-2</v>
      </c>
    </row>
    <row r="69" spans="1:20">
      <c r="A69" s="25" t="s">
        <v>68</v>
      </c>
      <c r="B69" s="75">
        <v>43383.531111111108</v>
      </c>
      <c r="C69" s="29">
        <v>17.8</v>
      </c>
      <c r="D69" s="14">
        <v>17.600000000000001</v>
      </c>
      <c r="E69" s="30">
        <v>17.8</v>
      </c>
      <c r="F69" s="35">
        <v>0.59899999999999998</v>
      </c>
      <c r="G69" s="15">
        <v>0.59699999999999998</v>
      </c>
      <c r="H69" s="36">
        <v>0.57399999999999995</v>
      </c>
      <c r="I69" s="40">
        <f t="shared" si="10"/>
        <v>188.51358180669615</v>
      </c>
      <c r="J69" s="29">
        <v>501</v>
      </c>
      <c r="K69" s="14">
        <v>541</v>
      </c>
      <c r="L69" s="30">
        <v>541</v>
      </c>
      <c r="M69" s="40">
        <f t="shared" si="11"/>
        <v>17.733333333333334</v>
      </c>
      <c r="N69" s="44">
        <f t="shared" si="12"/>
        <v>0.59</v>
      </c>
      <c r="O69" s="49">
        <f t="shared" si="13"/>
        <v>-6.666666666666643E-2</v>
      </c>
      <c r="P69" s="16">
        <f t="shared" si="14"/>
        <v>0.13333333333333286</v>
      </c>
      <c r="Q69" s="50">
        <f t="shared" si="15"/>
        <v>-6.666666666666643E-2</v>
      </c>
      <c r="R69" s="57">
        <f t="shared" si="16"/>
        <v>-9.000000000000008E-3</v>
      </c>
      <c r="S69" s="17">
        <f t="shared" si="9"/>
        <v>-7.0000000000000062E-3</v>
      </c>
      <c r="T69" s="58">
        <f t="shared" si="17"/>
        <v>1.6000000000000014E-2</v>
      </c>
    </row>
    <row r="70" spans="1:20">
      <c r="A70" s="25" t="s">
        <v>69</v>
      </c>
      <c r="B70" s="75">
        <v>43383.539907407408</v>
      </c>
      <c r="C70" s="29">
        <v>17.7</v>
      </c>
      <c r="D70" s="14">
        <v>17.600000000000001</v>
      </c>
      <c r="E70" s="30">
        <v>17.7</v>
      </c>
      <c r="F70" s="35">
        <v>0.60199999999999998</v>
      </c>
      <c r="G70" s="15">
        <v>0.59099999999999997</v>
      </c>
      <c r="H70" s="36">
        <v>0.57099999999999995</v>
      </c>
      <c r="I70" s="40">
        <f t="shared" si="10"/>
        <v>171.61219792865361</v>
      </c>
      <c r="J70" s="29">
        <v>556</v>
      </c>
      <c r="K70" s="14">
        <v>591</v>
      </c>
      <c r="L70" s="30">
        <v>591</v>
      </c>
      <c r="M70" s="40">
        <f t="shared" si="11"/>
        <v>17.666666666666668</v>
      </c>
      <c r="N70" s="44">
        <f t="shared" si="12"/>
        <v>0.58799999999999997</v>
      </c>
      <c r="O70" s="49">
        <f t="shared" si="13"/>
        <v>-3.3333333333331439E-2</v>
      </c>
      <c r="P70" s="16">
        <f t="shared" si="14"/>
        <v>6.666666666666643E-2</v>
      </c>
      <c r="Q70" s="50">
        <f t="shared" si="15"/>
        <v>-3.3333333333331439E-2</v>
      </c>
      <c r="R70" s="57">
        <f t="shared" si="16"/>
        <v>-1.4000000000000012E-2</v>
      </c>
      <c r="S70" s="17">
        <f t="shared" si="9"/>
        <v>-3.0000000000000027E-3</v>
      </c>
      <c r="T70" s="58">
        <f t="shared" si="17"/>
        <v>1.7000000000000015E-2</v>
      </c>
    </row>
    <row r="71" spans="1:20">
      <c r="A71" s="25" t="s">
        <v>70</v>
      </c>
      <c r="B71" s="75">
        <v>43383.548703703702</v>
      </c>
      <c r="C71" s="29">
        <v>17.5</v>
      </c>
      <c r="D71" s="14">
        <v>17.5</v>
      </c>
      <c r="E71" s="30">
        <v>17.5</v>
      </c>
      <c r="F71" s="35">
        <v>0.59299999999999997</v>
      </c>
      <c r="G71" s="15">
        <v>0.58099999999999996</v>
      </c>
      <c r="H71" s="36">
        <v>0.56799999999999995</v>
      </c>
      <c r="I71" s="40">
        <f t="shared" si="10"/>
        <v>162.1321370309951</v>
      </c>
      <c r="J71" s="29">
        <v>575</v>
      </c>
      <c r="K71" s="14">
        <v>632</v>
      </c>
      <c r="L71" s="30">
        <v>632</v>
      </c>
      <c r="M71" s="40">
        <f t="shared" si="11"/>
        <v>17.5</v>
      </c>
      <c r="N71" s="44">
        <f t="shared" si="12"/>
        <v>0.58066666666666666</v>
      </c>
      <c r="O71" s="49">
        <f t="shared" si="13"/>
        <v>0</v>
      </c>
      <c r="P71" s="16">
        <f t="shared" si="14"/>
        <v>0</v>
      </c>
      <c r="Q71" s="50">
        <f t="shared" si="15"/>
        <v>0</v>
      </c>
      <c r="R71" s="57">
        <f t="shared" si="16"/>
        <v>-1.2333333333333307E-2</v>
      </c>
      <c r="S71" s="17">
        <f t="shared" si="9"/>
        <v>-3.3333333333329662E-4</v>
      </c>
      <c r="T71" s="58">
        <f t="shared" si="17"/>
        <v>1.2666666666666715E-2</v>
      </c>
    </row>
    <row r="72" spans="1:20">
      <c r="A72" s="25" t="s">
        <v>71</v>
      </c>
      <c r="B72" s="75">
        <v>43383.557511574072</v>
      </c>
      <c r="C72" s="29">
        <v>17.399999999999999</v>
      </c>
      <c r="D72" s="14">
        <v>17.5</v>
      </c>
      <c r="E72" s="30">
        <v>17.399999999999999</v>
      </c>
      <c r="F72" s="35">
        <v>0.59699999999999998</v>
      </c>
      <c r="G72" s="15">
        <v>0.58499999999999996</v>
      </c>
      <c r="H72" s="36">
        <v>0.56999999999999995</v>
      </c>
      <c r="I72" s="40">
        <f t="shared" si="10"/>
        <v>154.68240788790865</v>
      </c>
      <c r="J72" s="29">
        <v>609</v>
      </c>
      <c r="K72" s="14">
        <v>659</v>
      </c>
      <c r="L72" s="30">
        <v>659</v>
      </c>
      <c r="M72" s="40">
        <f t="shared" si="11"/>
        <v>17.433333333333334</v>
      </c>
      <c r="N72" s="44">
        <f t="shared" si="12"/>
        <v>0.58399999999999996</v>
      </c>
      <c r="O72" s="49">
        <f t="shared" si="13"/>
        <v>3.3333333333334991E-2</v>
      </c>
      <c r="P72" s="16">
        <f t="shared" si="14"/>
        <v>-6.666666666666643E-2</v>
      </c>
      <c r="Q72" s="50">
        <f t="shared" si="15"/>
        <v>3.3333333333334991E-2</v>
      </c>
      <c r="R72" s="57">
        <f t="shared" si="16"/>
        <v>-1.3000000000000012E-2</v>
      </c>
      <c r="S72" s="17">
        <f t="shared" si="9"/>
        <v>-1.0000000000000009E-3</v>
      </c>
      <c r="T72" s="58">
        <f t="shared" si="17"/>
        <v>1.4000000000000012E-2</v>
      </c>
    </row>
    <row r="73" spans="1:20">
      <c r="A73" s="25" t="s">
        <v>72</v>
      </c>
      <c r="B73" s="75">
        <v>43383.566307870373</v>
      </c>
      <c r="C73" s="29">
        <v>17.3</v>
      </c>
      <c r="D73" s="14">
        <v>17.399999999999999</v>
      </c>
      <c r="E73" s="30">
        <v>17.3</v>
      </c>
      <c r="F73" s="35">
        <v>0.57799999999999996</v>
      </c>
      <c r="G73" s="15">
        <v>0.56599999999999995</v>
      </c>
      <c r="H73" s="36">
        <v>0.55200000000000005</v>
      </c>
      <c r="I73" s="40">
        <f t="shared" si="10"/>
        <v>143.92753623188406</v>
      </c>
      <c r="J73" s="29">
        <v>648</v>
      </c>
      <c r="K73" s="14">
        <v>711</v>
      </c>
      <c r="L73" s="30">
        <v>711</v>
      </c>
      <c r="M73" s="40">
        <f t="shared" si="11"/>
        <v>17.333333333333332</v>
      </c>
      <c r="N73" s="44">
        <f t="shared" si="12"/>
        <v>0.56533333333333335</v>
      </c>
      <c r="O73" s="49">
        <f t="shared" si="13"/>
        <v>3.3333333333331439E-2</v>
      </c>
      <c r="P73" s="16">
        <f t="shared" si="14"/>
        <v>-6.666666666666643E-2</v>
      </c>
      <c r="Q73" s="50">
        <f t="shared" si="15"/>
        <v>3.3333333333331439E-2</v>
      </c>
      <c r="R73" s="57">
        <f t="shared" si="16"/>
        <v>-1.2666666666666604E-2</v>
      </c>
      <c r="S73" s="17">
        <f t="shared" si="9"/>
        <v>-6.6666666666659324E-4</v>
      </c>
      <c r="T73" s="58">
        <f t="shared" si="17"/>
        <v>1.3333333333333308E-2</v>
      </c>
    </row>
    <row r="74" spans="1:20">
      <c r="A74" s="25" t="s">
        <v>73</v>
      </c>
      <c r="B74" s="75">
        <v>43383.575104166666</v>
      </c>
      <c r="C74" s="29">
        <v>17.3</v>
      </c>
      <c r="D74" s="14">
        <v>17.399999999999999</v>
      </c>
      <c r="E74" s="30">
        <v>17.3</v>
      </c>
      <c r="F74" s="35">
        <v>0.56699999999999995</v>
      </c>
      <c r="G74" s="15">
        <v>0.55400000000000005</v>
      </c>
      <c r="H74" s="36">
        <v>0.54100000000000004</v>
      </c>
      <c r="I74" s="40">
        <f t="shared" si="10"/>
        <v>137.1851681252879</v>
      </c>
      <c r="J74" s="29">
        <v>681</v>
      </c>
      <c r="K74" s="14">
        <v>745</v>
      </c>
      <c r="L74" s="30">
        <v>745</v>
      </c>
      <c r="M74" s="40">
        <f t="shared" si="11"/>
        <v>17.333333333333332</v>
      </c>
      <c r="N74" s="44">
        <f t="shared" si="12"/>
        <v>0.55399999999999994</v>
      </c>
      <c r="O74" s="49">
        <f t="shared" si="13"/>
        <v>3.3333333333331439E-2</v>
      </c>
      <c r="P74" s="16">
        <f t="shared" si="14"/>
        <v>-6.666666666666643E-2</v>
      </c>
      <c r="Q74" s="50">
        <f t="shared" si="15"/>
        <v>3.3333333333331439E-2</v>
      </c>
      <c r="R74" s="57">
        <f t="shared" si="16"/>
        <v>-1.3000000000000012E-2</v>
      </c>
      <c r="S74" s="17">
        <f t="shared" si="9"/>
        <v>0</v>
      </c>
      <c r="T74" s="58">
        <f t="shared" si="17"/>
        <v>1.2999999999999901E-2</v>
      </c>
    </row>
    <row r="75" spans="1:20">
      <c r="A75" s="25" t="s">
        <v>74</v>
      </c>
      <c r="B75" s="75">
        <v>43383.583935185183</v>
      </c>
      <c r="C75" s="29">
        <v>17.3</v>
      </c>
      <c r="D75" s="14">
        <v>17.399999999999999</v>
      </c>
      <c r="E75" s="30">
        <v>17.3</v>
      </c>
      <c r="F75" s="35">
        <v>0.56599999999999995</v>
      </c>
      <c r="G75" s="15">
        <v>0.55400000000000005</v>
      </c>
      <c r="H75" s="36">
        <v>0.53900000000000003</v>
      </c>
      <c r="I75" s="40">
        <f t="shared" si="10"/>
        <v>136.99448022079119</v>
      </c>
      <c r="J75" s="29">
        <v>688</v>
      </c>
      <c r="K75" s="14">
        <v>743</v>
      </c>
      <c r="L75" s="30">
        <v>743</v>
      </c>
      <c r="M75" s="40">
        <f t="shared" si="11"/>
        <v>17.333333333333332</v>
      </c>
      <c r="N75" s="44">
        <f t="shared" si="12"/>
        <v>0.55300000000000005</v>
      </c>
      <c r="O75" s="49">
        <f t="shared" si="13"/>
        <v>3.3333333333331439E-2</v>
      </c>
      <c r="P75" s="16">
        <f t="shared" si="14"/>
        <v>-6.666666666666643E-2</v>
      </c>
      <c r="Q75" s="50">
        <f t="shared" si="15"/>
        <v>3.3333333333331439E-2</v>
      </c>
      <c r="R75" s="57">
        <f t="shared" si="16"/>
        <v>-1.2999999999999901E-2</v>
      </c>
      <c r="S75" s="17">
        <f t="shared" si="9"/>
        <v>-1.0000000000000009E-3</v>
      </c>
      <c r="T75" s="58">
        <f t="shared" si="17"/>
        <v>1.4000000000000012E-2</v>
      </c>
    </row>
    <row r="76" spans="1:20">
      <c r="A76" s="25" t="s">
        <v>75</v>
      </c>
      <c r="B76" s="75">
        <v>43383.592731481483</v>
      </c>
      <c r="C76" s="29">
        <v>17.3</v>
      </c>
      <c r="D76" s="14">
        <v>17.399999999999999</v>
      </c>
      <c r="E76" s="30">
        <v>17.3</v>
      </c>
      <c r="F76" s="35">
        <v>0.55900000000000005</v>
      </c>
      <c r="G76" s="15">
        <v>0.54700000000000004</v>
      </c>
      <c r="H76" s="36">
        <v>0.53400000000000003</v>
      </c>
      <c r="I76" s="40">
        <f t="shared" si="10"/>
        <v>135.67425968109339</v>
      </c>
      <c r="J76" s="29">
        <v>689</v>
      </c>
      <c r="K76" s="14">
        <v>753</v>
      </c>
      <c r="L76" s="30">
        <v>753</v>
      </c>
      <c r="M76" s="40">
        <f t="shared" si="11"/>
        <v>17.333333333333332</v>
      </c>
      <c r="N76" s="44">
        <f t="shared" si="12"/>
        <v>0.54666666666666675</v>
      </c>
      <c r="O76" s="49">
        <f t="shared" si="13"/>
        <v>3.3333333333331439E-2</v>
      </c>
      <c r="P76" s="16">
        <f t="shared" si="14"/>
        <v>-6.666666666666643E-2</v>
      </c>
      <c r="Q76" s="50">
        <f t="shared" si="15"/>
        <v>3.3333333333331439E-2</v>
      </c>
      <c r="R76" s="57">
        <f t="shared" si="16"/>
        <v>-1.2333333333333307E-2</v>
      </c>
      <c r="S76" s="17">
        <f t="shared" si="9"/>
        <v>-3.3333333333329662E-4</v>
      </c>
      <c r="T76" s="58">
        <f t="shared" si="17"/>
        <v>1.2666666666666715E-2</v>
      </c>
    </row>
    <row r="77" spans="1:20">
      <c r="A77" s="25" t="s">
        <v>76</v>
      </c>
      <c r="B77" s="75">
        <v>43383.601527777777</v>
      </c>
      <c r="C77" s="29">
        <v>17.2</v>
      </c>
      <c r="D77" s="14">
        <v>17.3</v>
      </c>
      <c r="E77" s="30">
        <v>17.2</v>
      </c>
      <c r="F77" s="35">
        <v>0.55100000000000005</v>
      </c>
      <c r="G77" s="15">
        <v>0.53900000000000003</v>
      </c>
      <c r="H77" s="36">
        <v>0.52600000000000002</v>
      </c>
      <c r="I77" s="40">
        <f t="shared" si="10"/>
        <v>101.21465076660988</v>
      </c>
      <c r="J77" s="29">
        <v>917</v>
      </c>
      <c r="K77" s="14">
        <v>1009</v>
      </c>
      <c r="L77" s="30">
        <v>1009</v>
      </c>
      <c r="M77" s="40">
        <f t="shared" si="11"/>
        <v>17.233333333333334</v>
      </c>
      <c r="N77" s="44">
        <f t="shared" si="12"/>
        <v>0.53866666666666674</v>
      </c>
      <c r="O77" s="49">
        <f t="shared" si="13"/>
        <v>3.3333333333334991E-2</v>
      </c>
      <c r="P77" s="16">
        <f t="shared" si="14"/>
        <v>-6.666666666666643E-2</v>
      </c>
      <c r="Q77" s="50">
        <f t="shared" si="15"/>
        <v>3.3333333333334991E-2</v>
      </c>
      <c r="R77" s="57">
        <f t="shared" si="16"/>
        <v>-1.2333333333333307E-2</v>
      </c>
      <c r="S77" s="17">
        <f t="shared" si="9"/>
        <v>-3.3333333333329662E-4</v>
      </c>
      <c r="T77" s="58">
        <f t="shared" si="17"/>
        <v>1.2666666666666715E-2</v>
      </c>
    </row>
    <row r="78" spans="1:20">
      <c r="A78" s="25" t="s">
        <v>77</v>
      </c>
      <c r="B78" s="75">
        <v>43383.610335648147</v>
      </c>
      <c r="C78" s="29">
        <v>17.2</v>
      </c>
      <c r="D78" s="14">
        <v>17.3</v>
      </c>
      <c r="E78" s="30">
        <v>17.2</v>
      </c>
      <c r="F78" s="35">
        <v>0.55400000000000005</v>
      </c>
      <c r="G78" s="15">
        <v>0.54100000000000004</v>
      </c>
      <c r="H78" s="36">
        <v>0.52700000000000002</v>
      </c>
      <c r="I78" s="40">
        <f t="shared" si="10"/>
        <v>90.130012150668293</v>
      </c>
      <c r="J78" s="29">
        <v>1020</v>
      </c>
      <c r="K78" s="14">
        <v>1136</v>
      </c>
      <c r="L78" s="30">
        <v>1136</v>
      </c>
      <c r="M78" s="40">
        <f t="shared" si="11"/>
        <v>17.233333333333334</v>
      </c>
      <c r="N78" s="44">
        <f t="shared" si="12"/>
        <v>0.54066666666666674</v>
      </c>
      <c r="O78" s="49">
        <f t="shared" si="13"/>
        <v>3.3333333333334991E-2</v>
      </c>
      <c r="P78" s="16">
        <f t="shared" si="14"/>
        <v>-6.666666666666643E-2</v>
      </c>
      <c r="Q78" s="50">
        <f t="shared" si="15"/>
        <v>3.3333333333334991E-2</v>
      </c>
      <c r="R78" s="57">
        <f t="shared" si="16"/>
        <v>-1.3333333333333308E-2</v>
      </c>
      <c r="S78" s="17">
        <f t="shared" si="9"/>
        <v>-3.3333333333329662E-4</v>
      </c>
      <c r="T78" s="58">
        <f t="shared" si="17"/>
        <v>1.3666666666666716E-2</v>
      </c>
    </row>
    <row r="79" spans="1:20">
      <c r="A79" s="25" t="s">
        <v>78</v>
      </c>
      <c r="B79" s="75">
        <v>43383.619189814817</v>
      </c>
      <c r="C79" s="29">
        <v>17.2</v>
      </c>
      <c r="D79" s="14">
        <v>17.3</v>
      </c>
      <c r="E79" s="30">
        <v>17.2</v>
      </c>
      <c r="F79" s="35">
        <v>0.56000000000000005</v>
      </c>
      <c r="G79" s="15">
        <v>0.54800000000000004</v>
      </c>
      <c r="H79" s="36">
        <v>0.53400000000000003</v>
      </c>
      <c r="I79" s="40">
        <f t="shared" si="10"/>
        <v>80.015392924655686</v>
      </c>
      <c r="J79" s="29">
        <v>1147</v>
      </c>
      <c r="K79" s="14">
        <v>1278</v>
      </c>
      <c r="L79" s="30">
        <v>1278</v>
      </c>
      <c r="M79" s="40">
        <f t="shared" si="11"/>
        <v>17.233333333333334</v>
      </c>
      <c r="N79" s="44">
        <f t="shared" si="12"/>
        <v>0.54733333333333334</v>
      </c>
      <c r="O79" s="49">
        <f t="shared" si="13"/>
        <v>3.3333333333334991E-2</v>
      </c>
      <c r="P79" s="16">
        <f t="shared" si="14"/>
        <v>-6.666666666666643E-2</v>
      </c>
      <c r="Q79" s="50">
        <f t="shared" si="15"/>
        <v>3.3333333333334991E-2</v>
      </c>
      <c r="R79" s="57">
        <f t="shared" si="16"/>
        <v>-1.2666666666666715E-2</v>
      </c>
      <c r="S79" s="17">
        <f t="shared" si="9"/>
        <v>-6.6666666666670427E-4</v>
      </c>
      <c r="T79" s="58">
        <f t="shared" si="17"/>
        <v>1.3333333333333308E-2</v>
      </c>
    </row>
    <row r="80" spans="1:20">
      <c r="A80" s="25" t="s">
        <v>79</v>
      </c>
      <c r="B80" s="75">
        <v>43383.627986111111</v>
      </c>
      <c r="C80" s="29">
        <v>17.2</v>
      </c>
      <c r="D80" s="14">
        <v>17.3</v>
      </c>
      <c r="E80" s="30">
        <v>17.2</v>
      </c>
      <c r="F80" s="35">
        <v>0.56200000000000006</v>
      </c>
      <c r="G80" s="15">
        <v>0.54900000000000004</v>
      </c>
      <c r="H80" s="36">
        <v>0.53500000000000003</v>
      </c>
      <c r="I80" s="40">
        <f t="shared" si="10"/>
        <v>78.914757591901974</v>
      </c>
      <c r="J80" s="29">
        <v>1162</v>
      </c>
      <c r="K80" s="14">
        <v>1296</v>
      </c>
      <c r="L80" s="30">
        <v>1296</v>
      </c>
      <c r="M80" s="40">
        <f t="shared" si="11"/>
        <v>17.233333333333334</v>
      </c>
      <c r="N80" s="44">
        <f t="shared" si="12"/>
        <v>0.54866666666666675</v>
      </c>
      <c r="O80" s="49">
        <f t="shared" si="13"/>
        <v>3.3333333333334991E-2</v>
      </c>
      <c r="P80" s="16">
        <f t="shared" si="14"/>
        <v>-6.666666666666643E-2</v>
      </c>
      <c r="Q80" s="50">
        <f t="shared" si="15"/>
        <v>3.3333333333334991E-2</v>
      </c>
      <c r="R80" s="57">
        <f t="shared" si="16"/>
        <v>-1.3333333333333308E-2</v>
      </c>
      <c r="S80" s="17">
        <f t="shared" si="9"/>
        <v>-3.3333333333329662E-4</v>
      </c>
      <c r="T80" s="58">
        <f t="shared" si="17"/>
        <v>1.3666666666666716E-2</v>
      </c>
    </row>
    <row r="81" spans="1:20">
      <c r="A81" s="25" t="s">
        <v>80</v>
      </c>
      <c r="B81" s="75">
        <v>43383.636782407404</v>
      </c>
      <c r="C81" s="29">
        <v>17.2</v>
      </c>
      <c r="D81" s="14">
        <v>17.3</v>
      </c>
      <c r="E81" s="30">
        <v>17.2</v>
      </c>
      <c r="F81" s="35">
        <v>0.57099999999999995</v>
      </c>
      <c r="G81" s="15">
        <v>0.55900000000000005</v>
      </c>
      <c r="H81" s="36">
        <v>0.54500000000000004</v>
      </c>
      <c r="I81" s="40">
        <f t="shared" si="10"/>
        <v>71.358900144717794</v>
      </c>
      <c r="J81" s="29">
        <v>1298</v>
      </c>
      <c r="K81" s="14">
        <v>1424</v>
      </c>
      <c r="L81" s="30">
        <v>1424</v>
      </c>
      <c r="M81" s="40">
        <f t="shared" si="11"/>
        <v>17.233333333333334</v>
      </c>
      <c r="N81" s="44">
        <f t="shared" si="12"/>
        <v>0.55833333333333324</v>
      </c>
      <c r="O81" s="49">
        <f t="shared" si="13"/>
        <v>3.3333333333334991E-2</v>
      </c>
      <c r="P81" s="16">
        <f t="shared" si="14"/>
        <v>-6.666666666666643E-2</v>
      </c>
      <c r="Q81" s="50">
        <f t="shared" si="15"/>
        <v>3.3333333333334991E-2</v>
      </c>
      <c r="R81" s="57">
        <f t="shared" si="16"/>
        <v>-1.2666666666666715E-2</v>
      </c>
      <c r="S81" s="17">
        <f t="shared" si="9"/>
        <v>-6.6666666666681529E-4</v>
      </c>
      <c r="T81" s="58">
        <f t="shared" si="17"/>
        <v>1.3333333333333197E-2</v>
      </c>
    </row>
    <row r="82" spans="1:20">
      <c r="A82" s="25" t="s">
        <v>81</v>
      </c>
      <c r="B82" s="75">
        <v>43383.645590277774</v>
      </c>
      <c r="C82" s="29">
        <v>17.2</v>
      </c>
      <c r="D82" s="14">
        <v>17.3</v>
      </c>
      <c r="E82" s="30">
        <v>17.2</v>
      </c>
      <c r="F82" s="35">
        <v>0.58099999999999996</v>
      </c>
      <c r="G82" s="15">
        <v>0.56999999999999995</v>
      </c>
      <c r="H82" s="36">
        <v>0.55500000000000005</v>
      </c>
      <c r="I82" s="40">
        <f t="shared" si="10"/>
        <v>64.97756762700682</v>
      </c>
      <c r="J82" s="29">
        <v>1403</v>
      </c>
      <c r="K82" s="14">
        <v>1572</v>
      </c>
      <c r="L82" s="30">
        <v>1572</v>
      </c>
      <c r="M82" s="40">
        <f t="shared" si="11"/>
        <v>17.233333333333334</v>
      </c>
      <c r="N82" s="44">
        <f t="shared" si="12"/>
        <v>0.56866666666666665</v>
      </c>
      <c r="O82" s="49">
        <f t="shared" si="13"/>
        <v>3.3333333333334991E-2</v>
      </c>
      <c r="P82" s="16">
        <f t="shared" si="14"/>
        <v>-6.666666666666643E-2</v>
      </c>
      <c r="Q82" s="50">
        <f t="shared" si="15"/>
        <v>3.3333333333334991E-2</v>
      </c>
      <c r="R82" s="57">
        <f t="shared" si="16"/>
        <v>-1.2333333333333307E-2</v>
      </c>
      <c r="S82" s="17">
        <f t="shared" si="9"/>
        <v>-1.3333333333332975E-3</v>
      </c>
      <c r="T82" s="58">
        <f t="shared" si="17"/>
        <v>1.3666666666666605E-2</v>
      </c>
    </row>
    <row r="83" spans="1:20">
      <c r="A83" s="25" t="s">
        <v>82</v>
      </c>
      <c r="B83" s="75">
        <v>43383.654386574075</v>
      </c>
      <c r="C83" s="29">
        <v>17.2</v>
      </c>
      <c r="D83" s="14">
        <v>17.3</v>
      </c>
      <c r="E83" s="30">
        <v>17.2</v>
      </c>
      <c r="F83" s="35">
        <v>0.59899999999999998</v>
      </c>
      <c r="G83" s="15">
        <v>0.58599999999999997</v>
      </c>
      <c r="H83" s="36">
        <v>0.57099999999999995</v>
      </c>
      <c r="I83" s="40">
        <f t="shared" si="10"/>
        <v>60.475409836065573</v>
      </c>
      <c r="J83" s="29">
        <v>1498</v>
      </c>
      <c r="K83" s="14">
        <v>1691</v>
      </c>
      <c r="L83" s="30">
        <v>1691</v>
      </c>
      <c r="M83" s="40">
        <f t="shared" si="11"/>
        <v>17.233333333333334</v>
      </c>
      <c r="N83" s="44">
        <f t="shared" si="12"/>
        <v>0.58533333333333337</v>
      </c>
      <c r="O83" s="49">
        <f t="shared" si="13"/>
        <v>3.3333333333334991E-2</v>
      </c>
      <c r="P83" s="16">
        <f t="shared" si="14"/>
        <v>-6.666666666666643E-2</v>
      </c>
      <c r="Q83" s="50">
        <f t="shared" si="15"/>
        <v>3.3333333333334991E-2</v>
      </c>
      <c r="R83" s="57">
        <f t="shared" si="16"/>
        <v>-1.3666666666666605E-2</v>
      </c>
      <c r="S83" s="17">
        <f t="shared" si="9"/>
        <v>-6.6666666666659324E-4</v>
      </c>
      <c r="T83" s="58">
        <f t="shared" si="17"/>
        <v>1.433333333333342E-2</v>
      </c>
    </row>
    <row r="84" spans="1:20">
      <c r="A84" s="25" t="s">
        <v>83</v>
      </c>
      <c r="B84" s="75">
        <v>43383.663182870368</v>
      </c>
      <c r="C84" s="29">
        <v>17.2</v>
      </c>
      <c r="D84" s="14">
        <v>17.3</v>
      </c>
      <c r="E84" s="30">
        <v>17.2</v>
      </c>
      <c r="F84" s="35">
        <v>0.61399999999999999</v>
      </c>
      <c r="G84" s="15">
        <v>0.6</v>
      </c>
      <c r="H84" s="36">
        <v>0.58399999999999996</v>
      </c>
      <c r="I84" s="40">
        <f t="shared" si="10"/>
        <v>56.903879559930516</v>
      </c>
      <c r="J84" s="29">
        <v>1589</v>
      </c>
      <c r="K84" s="14">
        <v>1796</v>
      </c>
      <c r="L84" s="30">
        <v>1796</v>
      </c>
      <c r="M84" s="40">
        <f t="shared" si="11"/>
        <v>17.233333333333334</v>
      </c>
      <c r="N84" s="44">
        <f t="shared" si="12"/>
        <v>0.59933333333333338</v>
      </c>
      <c r="O84" s="49">
        <f t="shared" si="13"/>
        <v>3.3333333333334991E-2</v>
      </c>
      <c r="P84" s="16">
        <f t="shared" si="14"/>
        <v>-6.666666666666643E-2</v>
      </c>
      <c r="Q84" s="50">
        <f t="shared" si="15"/>
        <v>3.3333333333334991E-2</v>
      </c>
      <c r="R84" s="57">
        <f t="shared" si="16"/>
        <v>-1.4666666666666606E-2</v>
      </c>
      <c r="S84" s="17">
        <f t="shared" si="9"/>
        <v>-6.6666666666659324E-4</v>
      </c>
      <c r="T84" s="58">
        <f t="shared" si="17"/>
        <v>1.5333333333333421E-2</v>
      </c>
    </row>
    <row r="85" spans="1:20">
      <c r="A85" s="25" t="s">
        <v>84</v>
      </c>
      <c r="B85" s="75">
        <v>43383.671979166669</v>
      </c>
      <c r="C85" s="29">
        <v>17.2</v>
      </c>
      <c r="D85" s="14">
        <v>17.3</v>
      </c>
      <c r="E85" s="30">
        <v>17.2</v>
      </c>
      <c r="F85" s="35">
        <v>0.60499999999999998</v>
      </c>
      <c r="G85" s="15">
        <v>0.59099999999999997</v>
      </c>
      <c r="H85" s="36">
        <v>0.57599999999999996</v>
      </c>
      <c r="I85" s="40">
        <f t="shared" si="10"/>
        <v>46.938638542665387</v>
      </c>
      <c r="J85" s="29">
        <v>1906</v>
      </c>
      <c r="K85" s="14">
        <v>2176</v>
      </c>
      <c r="L85" s="30">
        <v>2176</v>
      </c>
      <c r="M85" s="40">
        <f t="shared" si="11"/>
        <v>17.233333333333334</v>
      </c>
      <c r="N85" s="44">
        <f t="shared" si="12"/>
        <v>0.59066666666666656</v>
      </c>
      <c r="O85" s="49">
        <f t="shared" si="13"/>
        <v>3.3333333333334991E-2</v>
      </c>
      <c r="P85" s="16">
        <f t="shared" si="14"/>
        <v>-6.666666666666643E-2</v>
      </c>
      <c r="Q85" s="50">
        <f t="shared" si="15"/>
        <v>3.3333333333334991E-2</v>
      </c>
      <c r="R85" s="57">
        <f t="shared" si="16"/>
        <v>-1.433333333333342E-2</v>
      </c>
      <c r="S85" s="17">
        <f t="shared" si="9"/>
        <v>-3.3333333333340764E-4</v>
      </c>
      <c r="T85" s="58">
        <f t="shared" si="17"/>
        <v>1.4666666666666606E-2</v>
      </c>
    </row>
    <row r="86" spans="1:20">
      <c r="A86" s="25" t="s">
        <v>85</v>
      </c>
      <c r="B86" s="75">
        <v>43383.680775462963</v>
      </c>
      <c r="C86" s="29">
        <v>17.2</v>
      </c>
      <c r="D86" s="14">
        <v>17.3</v>
      </c>
      <c r="E86" s="30">
        <v>17.2</v>
      </c>
      <c r="F86" s="35">
        <v>0.60599999999999998</v>
      </c>
      <c r="G86" s="15">
        <v>0.59399999999999997</v>
      </c>
      <c r="H86" s="36">
        <v>0.57899999999999996</v>
      </c>
      <c r="I86" s="40">
        <f t="shared" si="10"/>
        <v>41.759407069555301</v>
      </c>
      <c r="J86" s="29">
        <v>2114</v>
      </c>
      <c r="K86" s="14">
        <v>2451</v>
      </c>
      <c r="L86" s="30">
        <v>2451</v>
      </c>
      <c r="M86" s="40">
        <f t="shared" si="11"/>
        <v>17.233333333333334</v>
      </c>
      <c r="N86" s="44">
        <f t="shared" si="12"/>
        <v>0.59299999999999997</v>
      </c>
      <c r="O86" s="49">
        <f t="shared" si="13"/>
        <v>3.3333333333334991E-2</v>
      </c>
      <c r="P86" s="16">
        <f t="shared" si="14"/>
        <v>-6.666666666666643E-2</v>
      </c>
      <c r="Q86" s="50">
        <f t="shared" si="15"/>
        <v>3.3333333333334991E-2</v>
      </c>
      <c r="R86" s="57">
        <f t="shared" si="16"/>
        <v>-1.3000000000000012E-2</v>
      </c>
      <c r="S86" s="17">
        <f t="shared" si="9"/>
        <v>-1.0000000000000009E-3</v>
      </c>
      <c r="T86" s="58">
        <f t="shared" si="17"/>
        <v>1.4000000000000012E-2</v>
      </c>
    </row>
    <row r="87" spans="1:20">
      <c r="A87" s="25" t="s">
        <v>86</v>
      </c>
      <c r="B87" s="75">
        <v>43383.689606481479</v>
      </c>
      <c r="C87" s="29">
        <v>17.2</v>
      </c>
      <c r="D87" s="14">
        <v>17.3</v>
      </c>
      <c r="E87" s="30">
        <v>17.2</v>
      </c>
      <c r="F87" s="35">
        <v>0.61699999999999999</v>
      </c>
      <c r="G87" s="15">
        <v>0.60399999999999998</v>
      </c>
      <c r="H87" s="36">
        <v>0.58599999999999997</v>
      </c>
      <c r="I87" s="40">
        <f t="shared" si="10"/>
        <v>32.545790003354576</v>
      </c>
      <c r="J87" s="29">
        <v>2603</v>
      </c>
      <c r="K87" s="14">
        <v>3170</v>
      </c>
      <c r="L87" s="30">
        <v>3170</v>
      </c>
      <c r="M87" s="40">
        <f t="shared" si="11"/>
        <v>17.233333333333334</v>
      </c>
      <c r="N87" s="44">
        <f t="shared" si="12"/>
        <v>0.60233333333333328</v>
      </c>
      <c r="O87" s="49">
        <f t="shared" si="13"/>
        <v>3.3333333333334991E-2</v>
      </c>
      <c r="P87" s="16">
        <f t="shared" si="14"/>
        <v>-6.666666666666643E-2</v>
      </c>
      <c r="Q87" s="50">
        <f t="shared" si="15"/>
        <v>3.3333333333334991E-2</v>
      </c>
      <c r="R87" s="57">
        <f t="shared" si="16"/>
        <v>-1.4666666666666717E-2</v>
      </c>
      <c r="S87" s="17">
        <f t="shared" si="9"/>
        <v>-1.6666666666667052E-3</v>
      </c>
      <c r="T87" s="58">
        <f t="shared" si="17"/>
        <v>1.6333333333333311E-2</v>
      </c>
    </row>
    <row r="88" spans="1:20">
      <c r="A88" s="25" t="s">
        <v>87</v>
      </c>
      <c r="B88" s="75">
        <v>43383.698437500003</v>
      </c>
      <c r="C88" s="29">
        <v>17.399999999999999</v>
      </c>
      <c r="D88" s="14">
        <v>17.600000000000001</v>
      </c>
      <c r="E88" s="30">
        <v>17.2</v>
      </c>
      <c r="F88" s="35">
        <v>0.61299999999999999</v>
      </c>
      <c r="G88" s="15">
        <v>0.58699999999999997</v>
      </c>
      <c r="H88" s="36">
        <v>0.58299999999999996</v>
      </c>
      <c r="I88" s="40">
        <f t="shared" si="10"/>
        <v>25.951756356122541</v>
      </c>
      <c r="J88" s="29">
        <v>3161</v>
      </c>
      <c r="K88" s="14">
        <v>3985</v>
      </c>
      <c r="L88" s="30">
        <v>3985</v>
      </c>
      <c r="M88" s="40">
        <f t="shared" si="11"/>
        <v>17.400000000000002</v>
      </c>
      <c r="N88" s="44">
        <f t="shared" si="12"/>
        <v>0.59433333333333327</v>
      </c>
      <c r="O88" s="49">
        <f t="shared" si="13"/>
        <v>0</v>
      </c>
      <c r="P88" s="16">
        <f t="shared" si="14"/>
        <v>-0.19999999999999929</v>
      </c>
      <c r="Q88" s="50">
        <f t="shared" si="15"/>
        <v>0.20000000000000284</v>
      </c>
      <c r="R88" s="57">
        <f t="shared" si="16"/>
        <v>-1.866666666666672E-2</v>
      </c>
      <c r="S88" s="17">
        <f t="shared" si="9"/>
        <v>7.3333333333333028E-3</v>
      </c>
      <c r="T88" s="58">
        <f t="shared" si="17"/>
        <v>1.1333333333333306E-2</v>
      </c>
    </row>
    <row r="89" spans="1:20">
      <c r="A89" s="25" t="s">
        <v>88</v>
      </c>
      <c r="B89" s="75">
        <v>43383.707245370373</v>
      </c>
      <c r="C89" s="29">
        <v>17.7</v>
      </c>
      <c r="D89" s="14">
        <v>18.2</v>
      </c>
      <c r="E89" s="30">
        <v>17.5</v>
      </c>
      <c r="F89" s="35">
        <v>0.60899999999999999</v>
      </c>
      <c r="G89" s="15">
        <v>0.57799999999999996</v>
      </c>
      <c r="H89" s="36">
        <v>0.58399999999999996</v>
      </c>
      <c r="I89" s="40">
        <f t="shared" si="10"/>
        <v>21.749677712899064</v>
      </c>
      <c r="J89" s="29">
        <v>3571</v>
      </c>
      <c r="K89" s="14">
        <v>4808</v>
      </c>
      <c r="L89" s="30">
        <v>4808</v>
      </c>
      <c r="M89" s="40">
        <f t="shared" si="11"/>
        <v>17.8</v>
      </c>
      <c r="N89" s="44">
        <f t="shared" si="12"/>
        <v>0.59033333333333327</v>
      </c>
      <c r="O89" s="49">
        <f t="shared" si="13"/>
        <v>0.10000000000000142</v>
      </c>
      <c r="P89" s="16">
        <f t="shared" si="14"/>
        <v>-0.39999999999999858</v>
      </c>
      <c r="Q89" s="50">
        <f t="shared" si="15"/>
        <v>0.30000000000000071</v>
      </c>
      <c r="R89" s="57">
        <f t="shared" si="16"/>
        <v>-1.866666666666672E-2</v>
      </c>
      <c r="S89" s="17">
        <f t="shared" si="9"/>
        <v>1.2333333333333307E-2</v>
      </c>
      <c r="T89" s="58">
        <f t="shared" si="17"/>
        <v>6.333333333333302E-3</v>
      </c>
    </row>
    <row r="90" spans="1:20">
      <c r="A90" s="25" t="s">
        <v>89</v>
      </c>
      <c r="B90" s="75">
        <v>43383.716041666667</v>
      </c>
      <c r="C90" s="29">
        <v>18.3</v>
      </c>
      <c r="D90" s="14">
        <v>18.399999999999999</v>
      </c>
      <c r="E90" s="30">
        <v>18.3</v>
      </c>
      <c r="F90" s="35">
        <v>0.84399999999999997</v>
      </c>
      <c r="G90" s="15">
        <v>0.83499999999999996</v>
      </c>
      <c r="H90" s="36">
        <v>0.82299999999999995</v>
      </c>
      <c r="I90" s="40">
        <f t="shared" si="10"/>
        <v>16.304031839418585</v>
      </c>
      <c r="J90" s="29">
        <v>3933</v>
      </c>
      <c r="K90" s="14">
        <v>6702</v>
      </c>
      <c r="L90" s="30">
        <v>6702</v>
      </c>
      <c r="M90" s="40">
        <f t="shared" si="11"/>
        <v>18.333333333333332</v>
      </c>
      <c r="N90" s="44">
        <f t="shared" si="12"/>
        <v>0.83399999999999996</v>
      </c>
      <c r="O90" s="49">
        <f t="shared" si="13"/>
        <v>3.3333333333331439E-2</v>
      </c>
      <c r="P90" s="16">
        <f t="shared" si="14"/>
        <v>-6.666666666666643E-2</v>
      </c>
      <c r="Q90" s="50">
        <f t="shared" si="15"/>
        <v>3.3333333333331439E-2</v>
      </c>
      <c r="R90" s="57">
        <f t="shared" si="16"/>
        <v>-1.0000000000000009E-2</v>
      </c>
      <c r="S90" s="17">
        <f t="shared" si="9"/>
        <v>-1.0000000000000009E-3</v>
      </c>
      <c r="T90" s="58">
        <f t="shared" si="17"/>
        <v>1.100000000000001E-2</v>
      </c>
    </row>
    <row r="91" spans="1:20">
      <c r="A91" s="25" t="s">
        <v>90</v>
      </c>
      <c r="B91" s="75">
        <v>43383.724849537037</v>
      </c>
      <c r="C91" s="29">
        <v>18</v>
      </c>
      <c r="D91" s="14">
        <v>18</v>
      </c>
      <c r="E91" s="30">
        <v>18.100000000000001</v>
      </c>
      <c r="F91" s="35">
        <v>0.93700000000000006</v>
      </c>
      <c r="G91" s="15">
        <v>0.94099999999999995</v>
      </c>
      <c r="H91" s="36">
        <v>0.91900000000000004</v>
      </c>
      <c r="I91" s="40">
        <f t="shared" si="10"/>
        <v>12.308490817141337</v>
      </c>
      <c r="J91" s="29">
        <v>4906</v>
      </c>
      <c r="K91" s="14">
        <v>8818</v>
      </c>
      <c r="L91" s="30">
        <v>8818</v>
      </c>
      <c r="M91" s="40">
        <f t="shared" si="11"/>
        <v>18.033333333333335</v>
      </c>
      <c r="N91" s="44">
        <f t="shared" si="12"/>
        <v>0.93233333333333335</v>
      </c>
      <c r="O91" s="49">
        <f t="shared" si="13"/>
        <v>3.3333333333334991E-2</v>
      </c>
      <c r="P91" s="16">
        <f t="shared" si="14"/>
        <v>3.3333333333334991E-2</v>
      </c>
      <c r="Q91" s="50">
        <f t="shared" si="15"/>
        <v>-6.666666666666643E-2</v>
      </c>
      <c r="R91" s="57">
        <f t="shared" si="16"/>
        <v>-4.6666666666667078E-3</v>
      </c>
      <c r="S91" s="17">
        <f t="shared" si="9"/>
        <v>-8.6666666666666003E-3</v>
      </c>
      <c r="T91" s="58">
        <f t="shared" si="17"/>
        <v>1.3333333333333308E-2</v>
      </c>
    </row>
    <row r="92" spans="1:20">
      <c r="A92" s="25" t="s">
        <v>91</v>
      </c>
      <c r="B92" s="75">
        <v>43383.73364583333</v>
      </c>
      <c r="C92" s="29">
        <v>17.7</v>
      </c>
      <c r="D92" s="14">
        <v>17.7</v>
      </c>
      <c r="E92" s="30">
        <v>17.7</v>
      </c>
      <c r="F92" s="35">
        <v>0.86699999999999999</v>
      </c>
      <c r="G92" s="15">
        <v>0.86699999999999999</v>
      </c>
      <c r="H92" s="36">
        <v>0.84299999999999997</v>
      </c>
      <c r="I92" s="40">
        <f t="shared" si="10"/>
        <v>9.270455323519343</v>
      </c>
      <c r="J92" s="29">
        <v>6210</v>
      </c>
      <c r="K92" s="14">
        <v>11500</v>
      </c>
      <c r="L92" s="30">
        <v>11500</v>
      </c>
      <c r="M92" s="40">
        <f t="shared" si="11"/>
        <v>17.7</v>
      </c>
      <c r="N92" s="44">
        <f t="shared" si="12"/>
        <v>0.85899999999999999</v>
      </c>
      <c r="O92" s="49">
        <f t="shared" si="13"/>
        <v>0</v>
      </c>
      <c r="P92" s="16">
        <f t="shared" si="14"/>
        <v>0</v>
      </c>
      <c r="Q92" s="50">
        <f t="shared" si="15"/>
        <v>0</v>
      </c>
      <c r="R92" s="57">
        <f t="shared" si="16"/>
        <v>-8.0000000000000071E-3</v>
      </c>
      <c r="S92" s="17">
        <f t="shared" si="9"/>
        <v>-8.0000000000000071E-3</v>
      </c>
      <c r="T92" s="58">
        <f t="shared" si="17"/>
        <v>1.6000000000000014E-2</v>
      </c>
    </row>
    <row r="93" spans="1:20">
      <c r="A93" s="25" t="s">
        <v>92</v>
      </c>
      <c r="B93" s="75">
        <v>43383.7424537037</v>
      </c>
      <c r="C93" s="29">
        <v>17.5</v>
      </c>
      <c r="D93" s="14">
        <v>17.5</v>
      </c>
      <c r="E93" s="30">
        <v>17.5</v>
      </c>
      <c r="F93" s="35">
        <v>0.79500000000000004</v>
      </c>
      <c r="G93" s="15">
        <v>0.79300000000000004</v>
      </c>
      <c r="H93" s="36">
        <v>0.76800000000000002</v>
      </c>
      <c r="I93" s="40">
        <f t="shared" si="10"/>
        <v>5.4505031392448613</v>
      </c>
      <c r="J93" s="29">
        <v>9034</v>
      </c>
      <c r="K93" s="14">
        <v>18737</v>
      </c>
      <c r="L93" s="30">
        <v>18737</v>
      </c>
      <c r="M93" s="40">
        <f t="shared" si="11"/>
        <v>17.5</v>
      </c>
      <c r="N93" s="44">
        <f t="shared" si="12"/>
        <v>0.78533333333333333</v>
      </c>
      <c r="O93" s="49">
        <f t="shared" si="13"/>
        <v>0</v>
      </c>
      <c r="P93" s="16">
        <f t="shared" si="14"/>
        <v>0</v>
      </c>
      <c r="Q93" s="50">
        <f t="shared" si="15"/>
        <v>0</v>
      </c>
      <c r="R93" s="57">
        <f t="shared" si="16"/>
        <v>-9.6666666666667123E-3</v>
      </c>
      <c r="S93" s="17">
        <f t="shared" si="9"/>
        <v>-7.6666666666667105E-3</v>
      </c>
      <c r="T93" s="58">
        <f t="shared" si="17"/>
        <v>1.7333333333333312E-2</v>
      </c>
    </row>
    <row r="94" spans="1:20">
      <c r="A94" s="25" t="s">
        <v>93</v>
      </c>
      <c r="B94" s="75">
        <v>43383.751261574071</v>
      </c>
      <c r="C94" s="29">
        <v>17.3</v>
      </c>
      <c r="D94" s="14">
        <v>17.399999999999999</v>
      </c>
      <c r="E94" s="30">
        <v>17.399999999999999</v>
      </c>
      <c r="F94" s="35">
        <v>0.749</v>
      </c>
      <c r="G94" s="15">
        <v>0.747</v>
      </c>
      <c r="H94" s="36">
        <v>0.72299999999999998</v>
      </c>
      <c r="I94" s="40">
        <f t="shared" si="10"/>
        <v>1.7532534278005176</v>
      </c>
      <c r="J94" s="29">
        <v>15090</v>
      </c>
      <c r="K94" s="14">
        <v>46936</v>
      </c>
      <c r="L94" s="30">
        <v>46936</v>
      </c>
      <c r="M94" s="40">
        <f t="shared" si="11"/>
        <v>17.366666666666667</v>
      </c>
      <c r="N94" s="44">
        <f t="shared" si="12"/>
        <v>0.73966666666666658</v>
      </c>
      <c r="O94" s="49">
        <f t="shared" si="13"/>
        <v>6.666666666666643E-2</v>
      </c>
      <c r="P94" s="16">
        <f t="shared" si="14"/>
        <v>-3.3333333333331439E-2</v>
      </c>
      <c r="Q94" s="50">
        <f t="shared" si="15"/>
        <v>-3.3333333333331439E-2</v>
      </c>
      <c r="R94" s="57">
        <f t="shared" si="16"/>
        <v>-9.3333333333334156E-3</v>
      </c>
      <c r="S94" s="17">
        <f t="shared" si="9"/>
        <v>-7.3333333333334139E-3</v>
      </c>
      <c r="T94" s="58">
        <f t="shared" si="17"/>
        <v>1.6666666666666607E-2</v>
      </c>
    </row>
    <row r="95" spans="1:20">
      <c r="A95" s="25" t="s">
        <v>94</v>
      </c>
      <c r="B95" s="75">
        <v>43383.760115740741</v>
      </c>
      <c r="C95" s="29">
        <v>17.3</v>
      </c>
      <c r="D95" s="14">
        <v>17.3</v>
      </c>
      <c r="E95" s="30">
        <v>17.3</v>
      </c>
      <c r="F95" s="35">
        <v>0.72099999999999997</v>
      </c>
      <c r="G95" s="15">
        <v>0.72</v>
      </c>
      <c r="H95" s="36">
        <v>0.69399999999999995</v>
      </c>
      <c r="I95" s="40">
        <f t="shared" si="10"/>
        <v>0.29339892302982995</v>
      </c>
      <c r="J95" s="29">
        <v>31947</v>
      </c>
      <c r="K95" s="14">
        <v>100000</v>
      </c>
      <c r="L95" s="30">
        <v>100000</v>
      </c>
      <c r="M95" s="40">
        <f t="shared" si="11"/>
        <v>17.3</v>
      </c>
      <c r="N95" s="44">
        <f t="shared" si="12"/>
        <v>0.71166666666666656</v>
      </c>
      <c r="O95" s="49">
        <f t="shared" si="13"/>
        <v>0</v>
      </c>
      <c r="P95" s="16">
        <f t="shared" si="14"/>
        <v>0</v>
      </c>
      <c r="Q95" s="50">
        <f t="shared" si="15"/>
        <v>0</v>
      </c>
      <c r="R95" s="57">
        <f t="shared" si="16"/>
        <v>-9.3333333333334156E-3</v>
      </c>
      <c r="S95" s="17">
        <f t="shared" si="9"/>
        <v>-8.3333333333334147E-3</v>
      </c>
      <c r="T95" s="58">
        <f t="shared" si="17"/>
        <v>1.7666666666666608E-2</v>
      </c>
    </row>
    <row r="96" spans="1:20">
      <c r="A96" s="25" t="s">
        <v>95</v>
      </c>
      <c r="B96" s="75">
        <v>43383.768912037034</v>
      </c>
      <c r="C96" s="29">
        <v>17.399999999999999</v>
      </c>
      <c r="D96" s="14">
        <v>17.399999999999999</v>
      </c>
      <c r="E96" s="30">
        <v>17.3</v>
      </c>
      <c r="F96" s="35">
        <v>0.69799999999999995</v>
      </c>
      <c r="G96" s="15">
        <v>0.69699999999999995</v>
      </c>
      <c r="H96" s="36">
        <v>0.67100000000000004</v>
      </c>
      <c r="I96" s="40">
        <f t="shared" si="10"/>
        <v>76.559462254395044</v>
      </c>
      <c r="J96" s="29">
        <v>1092</v>
      </c>
      <c r="K96" s="14">
        <v>1388</v>
      </c>
      <c r="L96" s="30">
        <v>1388</v>
      </c>
      <c r="M96" s="40">
        <f t="shared" si="11"/>
        <v>17.366666666666664</v>
      </c>
      <c r="N96" s="44">
        <f t="shared" si="12"/>
        <v>0.68866666666666665</v>
      </c>
      <c r="O96" s="49">
        <f t="shared" si="13"/>
        <v>-3.3333333333334991E-2</v>
      </c>
      <c r="P96" s="16">
        <f t="shared" si="14"/>
        <v>-3.3333333333334991E-2</v>
      </c>
      <c r="Q96" s="50">
        <f t="shared" si="15"/>
        <v>6.6666666666662877E-2</v>
      </c>
      <c r="R96" s="57">
        <f t="shared" si="16"/>
        <v>-9.3333333333333046E-3</v>
      </c>
      <c r="S96" s="17">
        <f t="shared" si="9"/>
        <v>-8.3333333333333037E-3</v>
      </c>
      <c r="T96" s="58">
        <f t="shared" si="17"/>
        <v>1.7666666666666608E-2</v>
      </c>
    </row>
    <row r="97" spans="1:20">
      <c r="A97" s="25" t="s">
        <v>96</v>
      </c>
      <c r="B97" s="75">
        <v>43383.77679398148</v>
      </c>
      <c r="C97" s="29">
        <v>17.600000000000001</v>
      </c>
      <c r="D97" s="14">
        <v>17.7</v>
      </c>
      <c r="E97" s="30">
        <v>17.5</v>
      </c>
      <c r="F97" s="35">
        <v>0.67400000000000004</v>
      </c>
      <c r="G97" s="15">
        <v>0.67300000000000004</v>
      </c>
      <c r="H97" s="36">
        <v>0.65300000000000002</v>
      </c>
      <c r="I97" s="40">
        <f t="shared" si="10"/>
        <v>62.545858928193176</v>
      </c>
      <c r="J97" s="29">
        <v>1333</v>
      </c>
      <c r="K97" s="14">
        <v>1694</v>
      </c>
      <c r="L97" s="30">
        <v>1694</v>
      </c>
      <c r="M97" s="40">
        <f t="shared" si="11"/>
        <v>17.599999999999998</v>
      </c>
      <c r="N97" s="44">
        <f t="shared" si="12"/>
        <v>0.66666666666666663</v>
      </c>
      <c r="O97" s="49">
        <f t="shared" si="13"/>
        <v>0</v>
      </c>
      <c r="P97" s="16">
        <f t="shared" si="14"/>
        <v>-0.10000000000000142</v>
      </c>
      <c r="Q97" s="50">
        <f t="shared" si="15"/>
        <v>9.9999999999997868E-2</v>
      </c>
      <c r="R97" s="57">
        <f t="shared" si="16"/>
        <v>-7.3333333333334139E-3</v>
      </c>
      <c r="S97" s="17">
        <f t="shared" si="9"/>
        <v>-6.333333333333413E-3</v>
      </c>
      <c r="T97" s="58">
        <f t="shared" si="17"/>
        <v>1.3666666666666605E-2</v>
      </c>
    </row>
    <row r="98" spans="1:20">
      <c r="A98" s="25" t="s">
        <v>97</v>
      </c>
      <c r="B98" s="75">
        <v>43383.785810185182</v>
      </c>
      <c r="C98" s="29">
        <v>17.5</v>
      </c>
      <c r="D98" s="14">
        <v>17.600000000000001</v>
      </c>
      <c r="E98" s="30">
        <v>17.5</v>
      </c>
      <c r="F98" s="35">
        <v>0.67700000000000005</v>
      </c>
      <c r="G98" s="15">
        <v>0.67700000000000005</v>
      </c>
      <c r="H98" s="36">
        <v>0.65</v>
      </c>
      <c r="I98" s="40">
        <f t="shared" si="10"/>
        <v>0</v>
      </c>
      <c r="J98" s="29">
        <v>100000</v>
      </c>
      <c r="K98" s="14">
        <v>100000</v>
      </c>
      <c r="L98" s="30">
        <v>100000</v>
      </c>
      <c r="M98" s="40">
        <f t="shared" si="11"/>
        <v>17.533333333333335</v>
      </c>
      <c r="N98" s="44">
        <f t="shared" si="12"/>
        <v>0.66800000000000004</v>
      </c>
      <c r="O98" s="49">
        <f t="shared" si="13"/>
        <v>3.3333333333334991E-2</v>
      </c>
      <c r="P98" s="16">
        <f t="shared" si="14"/>
        <v>-6.666666666666643E-2</v>
      </c>
      <c r="Q98" s="50">
        <f t="shared" si="15"/>
        <v>3.3333333333334991E-2</v>
      </c>
      <c r="R98" s="57">
        <f t="shared" si="16"/>
        <v>-9.000000000000008E-3</v>
      </c>
      <c r="S98" s="17">
        <f t="shared" si="9"/>
        <v>-9.000000000000008E-3</v>
      </c>
      <c r="T98" s="58">
        <f t="shared" si="17"/>
        <v>1.8000000000000016E-2</v>
      </c>
    </row>
    <row r="99" spans="1:20">
      <c r="A99" s="25" t="s">
        <v>98</v>
      </c>
      <c r="B99" s="75">
        <v>43383.794710648152</v>
      </c>
      <c r="C99" s="29">
        <v>17.399999999999999</v>
      </c>
      <c r="D99" s="14">
        <v>17.5</v>
      </c>
      <c r="E99" s="30">
        <v>17.399999999999999</v>
      </c>
      <c r="F99" s="35">
        <v>0.68300000000000005</v>
      </c>
      <c r="G99" s="15">
        <v>0.68300000000000005</v>
      </c>
      <c r="H99" s="36">
        <v>0.65600000000000003</v>
      </c>
      <c r="I99" s="40">
        <f t="shared" si="10"/>
        <v>0</v>
      </c>
      <c r="J99" s="29">
        <v>100000</v>
      </c>
      <c r="K99" s="14">
        <v>100000</v>
      </c>
      <c r="L99" s="30">
        <v>100000</v>
      </c>
      <c r="M99" s="40">
        <f t="shared" si="11"/>
        <v>17.433333333333334</v>
      </c>
      <c r="N99" s="44">
        <f t="shared" si="12"/>
        <v>0.67400000000000004</v>
      </c>
      <c r="O99" s="49">
        <f t="shared" si="13"/>
        <v>3.3333333333334991E-2</v>
      </c>
      <c r="P99" s="16">
        <f t="shared" si="14"/>
        <v>-6.666666666666643E-2</v>
      </c>
      <c r="Q99" s="50">
        <f t="shared" si="15"/>
        <v>3.3333333333334991E-2</v>
      </c>
      <c r="R99" s="57">
        <f t="shared" si="16"/>
        <v>-9.000000000000008E-3</v>
      </c>
      <c r="S99" s="17">
        <f t="shared" si="9"/>
        <v>-9.000000000000008E-3</v>
      </c>
      <c r="T99" s="58">
        <f t="shared" si="17"/>
        <v>1.8000000000000016E-2</v>
      </c>
    </row>
    <row r="100" spans="1:20">
      <c r="A100" s="25" t="s">
        <v>99</v>
      </c>
      <c r="B100" s="75">
        <v>43383.803611111114</v>
      </c>
      <c r="C100" s="29">
        <v>17.3</v>
      </c>
      <c r="D100" s="14">
        <v>17.399999999999999</v>
      </c>
      <c r="E100" s="30">
        <v>17.3</v>
      </c>
      <c r="F100" s="35">
        <v>0.68899999999999995</v>
      </c>
      <c r="G100" s="15">
        <v>0.68899999999999995</v>
      </c>
      <c r="H100" s="36">
        <v>0.66200000000000003</v>
      </c>
      <c r="I100" s="40">
        <f t="shared" si="10"/>
        <v>0</v>
      </c>
      <c r="J100" s="29">
        <v>100000</v>
      </c>
      <c r="K100" s="14">
        <v>100000</v>
      </c>
      <c r="L100" s="30">
        <v>100000</v>
      </c>
      <c r="M100" s="40">
        <f t="shared" si="11"/>
        <v>17.333333333333332</v>
      </c>
      <c r="N100" s="44">
        <f t="shared" si="12"/>
        <v>0.68</v>
      </c>
      <c r="O100" s="49">
        <f t="shared" si="13"/>
        <v>3.3333333333331439E-2</v>
      </c>
      <c r="P100" s="16">
        <f t="shared" si="14"/>
        <v>-6.666666666666643E-2</v>
      </c>
      <c r="Q100" s="50">
        <f t="shared" si="15"/>
        <v>3.3333333333331439E-2</v>
      </c>
      <c r="R100" s="57">
        <f t="shared" si="16"/>
        <v>-8.999999999999897E-3</v>
      </c>
      <c r="S100" s="17">
        <f t="shared" si="9"/>
        <v>-8.999999999999897E-3</v>
      </c>
      <c r="T100" s="58">
        <f t="shared" si="17"/>
        <v>1.8000000000000016E-2</v>
      </c>
    </row>
    <row r="101" spans="1:20">
      <c r="A101" s="25" t="s">
        <v>100</v>
      </c>
      <c r="B101" s="75">
        <v>43383.812511574077</v>
      </c>
      <c r="C101" s="29">
        <v>17.3</v>
      </c>
      <c r="D101" s="14">
        <v>17.399999999999999</v>
      </c>
      <c r="E101" s="30">
        <v>17.3</v>
      </c>
      <c r="F101" s="35">
        <v>0.69799999999999995</v>
      </c>
      <c r="G101" s="15">
        <v>0.69799999999999995</v>
      </c>
      <c r="H101" s="36">
        <v>0.67</v>
      </c>
      <c r="I101" s="40">
        <f t="shared" si="10"/>
        <v>0</v>
      </c>
      <c r="J101" s="29">
        <v>100000</v>
      </c>
      <c r="K101" s="14">
        <v>100000</v>
      </c>
      <c r="L101" s="30">
        <v>100000</v>
      </c>
      <c r="M101" s="40">
        <f t="shared" si="11"/>
        <v>17.333333333333332</v>
      </c>
      <c r="N101" s="44">
        <f t="shared" si="12"/>
        <v>0.68866666666666665</v>
      </c>
      <c r="O101" s="49">
        <f t="shared" si="13"/>
        <v>3.3333333333331439E-2</v>
      </c>
      <c r="P101" s="16">
        <f t="shared" si="14"/>
        <v>-6.666666666666643E-2</v>
      </c>
      <c r="Q101" s="50">
        <f t="shared" si="15"/>
        <v>3.3333333333331439E-2</v>
      </c>
      <c r="R101" s="57">
        <f t="shared" si="16"/>
        <v>-9.3333333333333046E-3</v>
      </c>
      <c r="S101" s="17">
        <f t="shared" si="9"/>
        <v>-9.3333333333333046E-3</v>
      </c>
      <c r="T101" s="58">
        <f t="shared" si="17"/>
        <v>1.8666666666666609E-2</v>
      </c>
    </row>
    <row r="102" spans="1:20">
      <c r="A102" s="25" t="s">
        <v>101</v>
      </c>
      <c r="B102" s="75">
        <v>43383.821423611109</v>
      </c>
      <c r="C102" s="29">
        <v>17.3</v>
      </c>
      <c r="D102" s="14">
        <v>17.3</v>
      </c>
      <c r="E102" s="30">
        <v>17.2</v>
      </c>
      <c r="F102" s="35">
        <v>0.70499999999999996</v>
      </c>
      <c r="G102" s="15">
        <v>0.70599999999999996</v>
      </c>
      <c r="H102" s="36">
        <v>0.67700000000000005</v>
      </c>
      <c r="I102" s="40">
        <f t="shared" si="10"/>
        <v>0</v>
      </c>
      <c r="J102" s="29">
        <v>100000</v>
      </c>
      <c r="K102" s="14">
        <v>100000</v>
      </c>
      <c r="L102" s="30">
        <v>100000</v>
      </c>
      <c r="M102" s="40">
        <f t="shared" si="11"/>
        <v>17.266666666666666</v>
      </c>
      <c r="N102" s="44">
        <f t="shared" si="12"/>
        <v>0.69600000000000006</v>
      </c>
      <c r="O102" s="49">
        <f t="shared" si="13"/>
        <v>-3.3333333333334991E-2</v>
      </c>
      <c r="P102" s="16">
        <f t="shared" si="14"/>
        <v>-3.3333333333334991E-2</v>
      </c>
      <c r="Q102" s="50">
        <f t="shared" si="15"/>
        <v>6.666666666666643E-2</v>
      </c>
      <c r="R102" s="57">
        <f t="shared" si="16"/>
        <v>-8.999999999999897E-3</v>
      </c>
      <c r="S102" s="17">
        <f t="shared" si="9"/>
        <v>-9.9999999999998979E-3</v>
      </c>
      <c r="T102" s="58">
        <f t="shared" si="17"/>
        <v>1.9000000000000017E-2</v>
      </c>
    </row>
    <row r="103" spans="1:20">
      <c r="A103" s="25" t="s">
        <v>102</v>
      </c>
      <c r="B103" s="75">
        <v>43383.830289351848</v>
      </c>
      <c r="C103" s="29">
        <v>17.5</v>
      </c>
      <c r="D103" s="14">
        <v>17.5</v>
      </c>
      <c r="E103" s="30">
        <v>17.2</v>
      </c>
      <c r="F103" s="35">
        <v>0.70499999999999996</v>
      </c>
      <c r="G103" s="15">
        <v>0.70399999999999996</v>
      </c>
      <c r="H103" s="36">
        <v>0.67800000000000005</v>
      </c>
      <c r="I103" s="40">
        <f t="shared" si="10"/>
        <v>26.586206896551722</v>
      </c>
      <c r="J103" s="29">
        <v>2337</v>
      </c>
      <c r="K103" s="14">
        <v>4269</v>
      </c>
      <c r="L103" s="30">
        <v>4269</v>
      </c>
      <c r="M103" s="40">
        <f t="shared" si="11"/>
        <v>17.400000000000002</v>
      </c>
      <c r="N103" s="44">
        <f t="shared" si="12"/>
        <v>0.69566666666666654</v>
      </c>
      <c r="O103" s="49">
        <f t="shared" si="13"/>
        <v>-9.9999999999997868E-2</v>
      </c>
      <c r="P103" s="16">
        <f t="shared" si="14"/>
        <v>-9.9999999999997868E-2</v>
      </c>
      <c r="Q103" s="50">
        <f t="shared" si="15"/>
        <v>0.20000000000000284</v>
      </c>
      <c r="R103" s="57">
        <f t="shared" si="16"/>
        <v>-9.3333333333334156E-3</v>
      </c>
      <c r="S103" s="17">
        <f t="shared" si="9"/>
        <v>-8.3333333333334147E-3</v>
      </c>
      <c r="T103" s="58">
        <f t="shared" si="17"/>
        <v>1.7666666666666497E-2</v>
      </c>
    </row>
    <row r="104" spans="1:20">
      <c r="A104" s="25" t="s">
        <v>103</v>
      </c>
      <c r="B104" s="75">
        <v>43383.839201388888</v>
      </c>
      <c r="C104" s="29">
        <v>15.1</v>
      </c>
      <c r="D104" s="14">
        <v>13.2</v>
      </c>
      <c r="E104" s="30">
        <v>12.6</v>
      </c>
      <c r="F104" s="35">
        <v>0.63</v>
      </c>
      <c r="G104" s="15">
        <v>0.68600000000000005</v>
      </c>
      <c r="H104" s="36">
        <v>0.67700000000000005</v>
      </c>
      <c r="I104" s="40">
        <f t="shared" si="10"/>
        <v>0</v>
      </c>
      <c r="J104" s="29">
        <v>100000</v>
      </c>
      <c r="K104" s="14">
        <v>100000</v>
      </c>
      <c r="L104" s="30">
        <v>100000</v>
      </c>
      <c r="M104" s="40">
        <f t="shared" si="11"/>
        <v>13.633333333333333</v>
      </c>
      <c r="N104" s="44">
        <f t="shared" si="12"/>
        <v>0.66433333333333333</v>
      </c>
      <c r="O104" s="49">
        <f t="shared" si="13"/>
        <v>-1.4666666666666668</v>
      </c>
      <c r="P104" s="16">
        <f t="shared" si="14"/>
        <v>0.43333333333333357</v>
      </c>
      <c r="Q104" s="50">
        <f t="shared" si="15"/>
        <v>1.0333333333333332</v>
      </c>
      <c r="R104" s="57">
        <f t="shared" si="16"/>
        <v>3.4333333333333327E-2</v>
      </c>
      <c r="S104" s="17">
        <f t="shared" si="9"/>
        <v>-2.1666666666666723E-2</v>
      </c>
      <c r="T104" s="58">
        <f t="shared" si="17"/>
        <v>-1.2666666666666715E-2</v>
      </c>
    </row>
    <row r="105" spans="1:20">
      <c r="A105" s="25" t="s">
        <v>104</v>
      </c>
      <c r="B105" s="75">
        <v>43383.848101851851</v>
      </c>
      <c r="C105" s="29">
        <v>10.199999999999999</v>
      </c>
      <c r="D105" s="14">
        <v>9</v>
      </c>
      <c r="E105" s="30">
        <v>8.8000000000000007</v>
      </c>
      <c r="F105" s="35">
        <v>0.68400000000000005</v>
      </c>
      <c r="G105" s="15">
        <v>0.73499999999999999</v>
      </c>
      <c r="H105" s="36">
        <v>0.68500000000000005</v>
      </c>
      <c r="I105" s="40">
        <f t="shared" si="10"/>
        <v>0</v>
      </c>
      <c r="J105" s="29">
        <v>100000</v>
      </c>
      <c r="K105" s="14">
        <v>100000</v>
      </c>
      <c r="L105" s="30">
        <v>100000</v>
      </c>
      <c r="M105" s="40">
        <f t="shared" si="11"/>
        <v>9.3333333333333339</v>
      </c>
      <c r="N105" s="44">
        <f t="shared" si="12"/>
        <v>0.70133333333333336</v>
      </c>
      <c r="O105" s="49">
        <f t="shared" si="13"/>
        <v>-0.86666666666666536</v>
      </c>
      <c r="P105" s="16">
        <f t="shared" si="14"/>
        <v>0.33333333333333393</v>
      </c>
      <c r="Q105" s="50">
        <f t="shared" si="15"/>
        <v>0.53333333333333321</v>
      </c>
      <c r="R105" s="57">
        <f t="shared" si="16"/>
        <v>1.7333333333333312E-2</v>
      </c>
      <c r="S105" s="17">
        <f t="shared" si="9"/>
        <v>-3.3666666666666623E-2</v>
      </c>
      <c r="T105" s="58">
        <f t="shared" si="17"/>
        <v>1.6333333333333311E-2</v>
      </c>
    </row>
    <row r="106" spans="1:20">
      <c r="A106" s="25" t="s">
        <v>105</v>
      </c>
      <c r="B106" s="75">
        <v>43383.857037037036</v>
      </c>
      <c r="C106" s="29">
        <v>6.5</v>
      </c>
      <c r="D106" s="14">
        <v>6.2</v>
      </c>
      <c r="E106" s="30">
        <v>6</v>
      </c>
      <c r="F106" s="35">
        <v>0.77500000000000002</v>
      </c>
      <c r="G106" s="15">
        <v>0.80600000000000005</v>
      </c>
      <c r="H106" s="36">
        <v>0.73799999999999999</v>
      </c>
      <c r="I106" s="40">
        <f t="shared" si="10"/>
        <v>0</v>
      </c>
      <c r="J106" s="29">
        <v>100000</v>
      </c>
      <c r="K106" s="14">
        <v>100000</v>
      </c>
      <c r="L106" s="30">
        <v>100000</v>
      </c>
      <c r="M106" s="40">
        <f t="shared" si="11"/>
        <v>6.2333333333333334</v>
      </c>
      <c r="N106" s="44">
        <f t="shared" si="12"/>
        <v>0.77300000000000002</v>
      </c>
      <c r="O106" s="49">
        <f t="shared" si="13"/>
        <v>-0.26666666666666661</v>
      </c>
      <c r="P106" s="16">
        <f t="shared" si="14"/>
        <v>3.3333333333333215E-2</v>
      </c>
      <c r="Q106" s="50">
        <f t="shared" si="15"/>
        <v>0.23333333333333339</v>
      </c>
      <c r="R106" s="57">
        <f t="shared" si="16"/>
        <v>-2.0000000000000018E-3</v>
      </c>
      <c r="S106" s="17">
        <f t="shared" si="9"/>
        <v>-3.3000000000000029E-2</v>
      </c>
      <c r="T106" s="58">
        <f t="shared" si="17"/>
        <v>3.5000000000000031E-2</v>
      </c>
    </row>
    <row r="107" spans="1:20">
      <c r="A107" s="25" t="s">
        <v>106</v>
      </c>
      <c r="B107" s="75">
        <v>43383.865937499999</v>
      </c>
      <c r="C107" s="29">
        <v>5.8</v>
      </c>
      <c r="D107" s="14">
        <v>5.6</v>
      </c>
      <c r="E107" s="30">
        <v>5.4</v>
      </c>
      <c r="F107" s="35">
        <v>0.82499999999999996</v>
      </c>
      <c r="G107" s="15">
        <v>0.85099999999999998</v>
      </c>
      <c r="H107" s="36">
        <v>0.78800000000000003</v>
      </c>
      <c r="I107" s="40">
        <f t="shared" si="10"/>
        <v>0</v>
      </c>
      <c r="J107" s="29">
        <v>100000</v>
      </c>
      <c r="K107" s="14">
        <v>100000</v>
      </c>
      <c r="L107" s="30">
        <v>100000</v>
      </c>
      <c r="M107" s="40">
        <f t="shared" si="11"/>
        <v>5.5999999999999988</v>
      </c>
      <c r="N107" s="44">
        <f t="shared" si="12"/>
        <v>0.82133333333333336</v>
      </c>
      <c r="O107" s="49">
        <f t="shared" si="13"/>
        <v>-0.20000000000000107</v>
      </c>
      <c r="P107" s="16">
        <f t="shared" si="14"/>
        <v>0</v>
      </c>
      <c r="Q107" s="50">
        <f t="shared" si="15"/>
        <v>0.1999999999999984</v>
      </c>
      <c r="R107" s="57">
        <f t="shared" si="16"/>
        <v>-3.6666666666665959E-3</v>
      </c>
      <c r="S107" s="17">
        <f t="shared" si="9"/>
        <v>-2.9666666666666619E-2</v>
      </c>
      <c r="T107" s="58">
        <f t="shared" si="17"/>
        <v>3.3333333333333326E-2</v>
      </c>
    </row>
    <row r="108" spans="1:20">
      <c r="A108" s="25" t="s">
        <v>107</v>
      </c>
      <c r="B108" s="75">
        <v>43383.874826388892</v>
      </c>
      <c r="C108" s="29">
        <v>6.2</v>
      </c>
      <c r="D108" s="14">
        <v>6.1</v>
      </c>
      <c r="E108" s="30">
        <v>5.8</v>
      </c>
      <c r="F108" s="35">
        <v>0.85199999999999998</v>
      </c>
      <c r="G108" s="15">
        <v>0.874</v>
      </c>
      <c r="H108" s="36">
        <v>0.81499999999999995</v>
      </c>
      <c r="I108" s="40">
        <f t="shared" si="10"/>
        <v>0</v>
      </c>
      <c r="J108" s="29">
        <v>100000</v>
      </c>
      <c r="K108" s="14">
        <v>100000</v>
      </c>
      <c r="L108" s="30">
        <v>100000</v>
      </c>
      <c r="M108" s="40">
        <f t="shared" si="11"/>
        <v>6.0333333333333341</v>
      </c>
      <c r="N108" s="44">
        <f t="shared" si="12"/>
        <v>0.84699999999999998</v>
      </c>
      <c r="O108" s="49">
        <f t="shared" si="13"/>
        <v>-0.16666666666666607</v>
      </c>
      <c r="P108" s="16">
        <f t="shared" si="14"/>
        <v>-6.6666666666665542E-2</v>
      </c>
      <c r="Q108" s="50">
        <f t="shared" si="15"/>
        <v>0.23333333333333428</v>
      </c>
      <c r="R108" s="57">
        <f t="shared" si="16"/>
        <v>-5.0000000000000044E-3</v>
      </c>
      <c r="S108" s="17">
        <f t="shared" si="9"/>
        <v>-2.7000000000000024E-2</v>
      </c>
      <c r="T108" s="58">
        <f t="shared" si="17"/>
        <v>3.2000000000000028E-2</v>
      </c>
    </row>
    <row r="109" spans="1:20">
      <c r="A109" s="25" t="s">
        <v>108</v>
      </c>
      <c r="B109" s="75">
        <v>43383.883726851855</v>
      </c>
      <c r="C109" s="29">
        <v>6.9</v>
      </c>
      <c r="D109" s="14">
        <v>6.8</v>
      </c>
      <c r="E109" s="30">
        <v>6.5</v>
      </c>
      <c r="F109" s="35">
        <v>0.86399999999999999</v>
      </c>
      <c r="G109" s="15">
        <v>0.88400000000000001</v>
      </c>
      <c r="H109" s="36">
        <v>0.82699999999999996</v>
      </c>
      <c r="I109" s="40">
        <f t="shared" si="10"/>
        <v>0</v>
      </c>
      <c r="J109" s="29">
        <v>100000</v>
      </c>
      <c r="K109" s="14">
        <v>100000</v>
      </c>
      <c r="L109" s="30">
        <v>100000</v>
      </c>
      <c r="M109" s="40">
        <f t="shared" si="11"/>
        <v>6.7333333333333334</v>
      </c>
      <c r="N109" s="44">
        <f t="shared" si="12"/>
        <v>0.85833333333333339</v>
      </c>
      <c r="O109" s="49">
        <f t="shared" si="13"/>
        <v>-0.16666666666666696</v>
      </c>
      <c r="P109" s="16">
        <f t="shared" si="14"/>
        <v>-6.666666666666643E-2</v>
      </c>
      <c r="Q109" s="50">
        <f t="shared" si="15"/>
        <v>0.23333333333333339</v>
      </c>
      <c r="R109" s="57">
        <f t="shared" si="16"/>
        <v>-5.6666666666665977E-3</v>
      </c>
      <c r="S109" s="17">
        <f t="shared" si="9"/>
        <v>-2.5666666666666615E-2</v>
      </c>
      <c r="T109" s="58">
        <f t="shared" si="17"/>
        <v>3.1333333333333435E-2</v>
      </c>
    </row>
    <row r="110" spans="1:20">
      <c r="A110" s="25" t="s">
        <v>109</v>
      </c>
      <c r="B110" s="75">
        <v>43383.892627314817</v>
      </c>
      <c r="C110" s="29">
        <v>7.6</v>
      </c>
      <c r="D110" s="14">
        <v>7.4</v>
      </c>
      <c r="E110" s="30">
        <v>7.2</v>
      </c>
      <c r="F110" s="35">
        <v>0.872</v>
      </c>
      <c r="G110" s="15">
        <v>0.88800000000000001</v>
      </c>
      <c r="H110" s="36">
        <v>0.83199999999999996</v>
      </c>
      <c r="I110" s="40">
        <f t="shared" si="10"/>
        <v>0</v>
      </c>
      <c r="J110" s="29">
        <v>100000</v>
      </c>
      <c r="K110" s="14">
        <v>100000</v>
      </c>
      <c r="L110" s="30">
        <v>100000</v>
      </c>
      <c r="M110" s="40">
        <f t="shared" si="11"/>
        <v>7.3999999999999995</v>
      </c>
      <c r="N110" s="44">
        <f t="shared" si="12"/>
        <v>0.86399999999999999</v>
      </c>
      <c r="O110" s="49">
        <f t="shared" si="13"/>
        <v>-0.20000000000000018</v>
      </c>
      <c r="P110" s="16">
        <f t="shared" si="14"/>
        <v>0</v>
      </c>
      <c r="Q110" s="50">
        <f t="shared" si="15"/>
        <v>0.19999999999999929</v>
      </c>
      <c r="R110" s="57">
        <f t="shared" si="16"/>
        <v>-8.0000000000000071E-3</v>
      </c>
      <c r="S110" s="17">
        <f t="shared" si="9"/>
        <v>-2.4000000000000021E-2</v>
      </c>
      <c r="T110" s="58">
        <f t="shared" si="17"/>
        <v>3.2000000000000028E-2</v>
      </c>
    </row>
    <row r="111" spans="1:20">
      <c r="A111" s="25" t="s">
        <v>110</v>
      </c>
      <c r="B111" s="75">
        <v>43383.90152777778</v>
      </c>
      <c r="C111" s="29">
        <v>8.8000000000000007</v>
      </c>
      <c r="D111" s="14">
        <v>8.6999999999999993</v>
      </c>
      <c r="E111" s="30">
        <v>8.3000000000000007</v>
      </c>
      <c r="F111" s="35">
        <v>0.90200000000000002</v>
      </c>
      <c r="G111" s="15">
        <v>0.91300000000000003</v>
      </c>
      <c r="H111" s="36">
        <v>0.91700000000000004</v>
      </c>
      <c r="I111" s="40">
        <f t="shared" si="10"/>
        <v>0</v>
      </c>
      <c r="J111" s="29">
        <v>100000</v>
      </c>
      <c r="K111" s="14">
        <v>100000</v>
      </c>
      <c r="L111" s="30">
        <v>100000</v>
      </c>
      <c r="M111" s="40">
        <f t="shared" si="11"/>
        <v>8.6</v>
      </c>
      <c r="N111" s="44">
        <f t="shared" si="12"/>
        <v>0.91066666666666674</v>
      </c>
      <c r="O111" s="49">
        <f t="shared" si="13"/>
        <v>-0.20000000000000107</v>
      </c>
      <c r="P111" s="16">
        <f t="shared" si="14"/>
        <v>-9.9999999999999645E-2</v>
      </c>
      <c r="Q111" s="50">
        <f t="shared" si="15"/>
        <v>0.29999999999999893</v>
      </c>
      <c r="R111" s="57">
        <f t="shared" si="16"/>
        <v>8.6666666666667114E-3</v>
      </c>
      <c r="S111" s="17">
        <f t="shared" si="9"/>
        <v>-2.3333333333332984E-3</v>
      </c>
      <c r="T111" s="58">
        <f t="shared" si="17"/>
        <v>-6.333333333333302E-3</v>
      </c>
    </row>
    <row r="112" spans="1:20">
      <c r="A112" s="25" t="s">
        <v>111</v>
      </c>
      <c r="B112" s="75">
        <v>43383.910428240742</v>
      </c>
      <c r="C112" s="29">
        <v>9.1999999999999993</v>
      </c>
      <c r="D112" s="14">
        <v>9</v>
      </c>
      <c r="E112" s="30">
        <v>8.6</v>
      </c>
      <c r="F112" s="35">
        <v>0.91700000000000004</v>
      </c>
      <c r="G112" s="15">
        <v>0.91600000000000004</v>
      </c>
      <c r="H112" s="36">
        <v>0.95799999999999996</v>
      </c>
      <c r="I112" s="40">
        <f t="shared" si="10"/>
        <v>0</v>
      </c>
      <c r="J112" s="29">
        <v>100000</v>
      </c>
      <c r="K112" s="14">
        <v>100000</v>
      </c>
      <c r="L112" s="30">
        <v>100000</v>
      </c>
      <c r="M112" s="40">
        <f t="shared" si="11"/>
        <v>8.9333333333333318</v>
      </c>
      <c r="N112" s="44">
        <f t="shared" si="12"/>
        <v>0.93033333333333346</v>
      </c>
      <c r="O112" s="49">
        <f t="shared" si="13"/>
        <v>-0.2666666666666675</v>
      </c>
      <c r="P112" s="16">
        <f t="shared" si="14"/>
        <v>-6.6666666666668206E-2</v>
      </c>
      <c r="Q112" s="50">
        <f t="shared" si="15"/>
        <v>0.33333333333333215</v>
      </c>
      <c r="R112" s="57">
        <f t="shared" si="16"/>
        <v>1.3333333333333419E-2</v>
      </c>
      <c r="S112" s="17">
        <f t="shared" si="9"/>
        <v>1.433333333333342E-2</v>
      </c>
      <c r="T112" s="58">
        <f t="shared" si="17"/>
        <v>-2.7666666666666506E-2</v>
      </c>
    </row>
    <row r="113" spans="1:20">
      <c r="A113" s="25" t="s">
        <v>112</v>
      </c>
      <c r="B113" s="75">
        <v>43383.919328703705</v>
      </c>
      <c r="C113" s="29">
        <v>9.5</v>
      </c>
      <c r="D113" s="14">
        <v>9.3000000000000007</v>
      </c>
      <c r="E113" s="30">
        <v>8.9</v>
      </c>
      <c r="F113" s="35">
        <v>0.91800000000000004</v>
      </c>
      <c r="G113" s="15">
        <v>0.91300000000000003</v>
      </c>
      <c r="H113" s="36">
        <v>0.95799999999999996</v>
      </c>
      <c r="I113" s="40">
        <f t="shared" si="10"/>
        <v>0</v>
      </c>
      <c r="J113" s="29">
        <v>100000</v>
      </c>
      <c r="K113" s="14">
        <v>100000</v>
      </c>
      <c r="L113" s="30">
        <v>100000</v>
      </c>
      <c r="M113" s="40">
        <f t="shared" si="11"/>
        <v>9.2333333333333343</v>
      </c>
      <c r="N113" s="44">
        <f t="shared" si="12"/>
        <v>0.92966666666666653</v>
      </c>
      <c r="O113" s="49">
        <f t="shared" si="13"/>
        <v>-0.26666666666666572</v>
      </c>
      <c r="P113" s="16">
        <f t="shared" si="14"/>
        <v>-6.666666666666643E-2</v>
      </c>
      <c r="Q113" s="50">
        <f t="shared" si="15"/>
        <v>0.33333333333333393</v>
      </c>
      <c r="R113" s="57">
        <f t="shared" si="16"/>
        <v>1.1666666666666492E-2</v>
      </c>
      <c r="S113" s="17">
        <f t="shared" si="9"/>
        <v>1.6666666666666496E-2</v>
      </c>
      <c r="T113" s="58">
        <f t="shared" si="17"/>
        <v>-2.8333333333333433E-2</v>
      </c>
    </row>
    <row r="114" spans="1:20">
      <c r="A114" s="25" t="s">
        <v>113</v>
      </c>
      <c r="B114" s="75">
        <v>43383.928229166668</v>
      </c>
      <c r="C114" s="29">
        <v>9.9</v>
      </c>
      <c r="D114" s="14">
        <v>9.8000000000000007</v>
      </c>
      <c r="E114" s="30">
        <v>9.4</v>
      </c>
      <c r="F114" s="35">
        <v>0.91600000000000004</v>
      </c>
      <c r="G114" s="15">
        <v>0.91100000000000003</v>
      </c>
      <c r="H114" s="36">
        <v>0.95599999999999996</v>
      </c>
      <c r="I114" s="40">
        <f t="shared" si="10"/>
        <v>0</v>
      </c>
      <c r="J114" s="29">
        <v>100000</v>
      </c>
      <c r="K114" s="14">
        <v>100000</v>
      </c>
      <c r="L114" s="30">
        <v>100000</v>
      </c>
      <c r="M114" s="40">
        <f t="shared" si="11"/>
        <v>9.7000000000000011</v>
      </c>
      <c r="N114" s="44">
        <f t="shared" si="12"/>
        <v>0.92766666666666664</v>
      </c>
      <c r="O114" s="49">
        <f t="shared" si="13"/>
        <v>-0.19999999999999929</v>
      </c>
      <c r="P114" s="16">
        <f t="shared" si="14"/>
        <v>-9.9999999999999645E-2</v>
      </c>
      <c r="Q114" s="50">
        <f t="shared" si="15"/>
        <v>0.30000000000000071</v>
      </c>
      <c r="R114" s="57">
        <f t="shared" si="16"/>
        <v>1.1666666666666603E-2</v>
      </c>
      <c r="S114" s="17">
        <f t="shared" si="9"/>
        <v>1.6666666666666607E-2</v>
      </c>
      <c r="T114" s="58">
        <f t="shared" si="17"/>
        <v>-2.8333333333333321E-2</v>
      </c>
    </row>
    <row r="115" spans="1:20">
      <c r="A115" s="25" t="s">
        <v>114</v>
      </c>
      <c r="B115" s="75">
        <v>43383.93712962963</v>
      </c>
      <c r="C115" s="29">
        <v>10.4</v>
      </c>
      <c r="D115" s="14">
        <v>10.3</v>
      </c>
      <c r="E115" s="30">
        <v>10</v>
      </c>
      <c r="F115" s="35">
        <v>0.91400000000000003</v>
      </c>
      <c r="G115" s="15">
        <v>0.90800000000000003</v>
      </c>
      <c r="H115" s="36">
        <v>0.95399999999999996</v>
      </c>
      <c r="I115" s="40">
        <f t="shared" si="10"/>
        <v>0</v>
      </c>
      <c r="J115" s="29">
        <v>100000</v>
      </c>
      <c r="K115" s="14">
        <v>100000</v>
      </c>
      <c r="L115" s="30">
        <v>100000</v>
      </c>
      <c r="M115" s="40">
        <f t="shared" si="11"/>
        <v>10.233333333333334</v>
      </c>
      <c r="N115" s="44">
        <f t="shared" si="12"/>
        <v>0.92533333333333323</v>
      </c>
      <c r="O115" s="49">
        <f t="shared" si="13"/>
        <v>-0.16666666666666607</v>
      </c>
      <c r="P115" s="16">
        <f t="shared" si="14"/>
        <v>-6.666666666666643E-2</v>
      </c>
      <c r="Q115" s="50">
        <f t="shared" si="15"/>
        <v>0.23333333333333428</v>
      </c>
      <c r="R115" s="57">
        <f t="shared" si="16"/>
        <v>1.1333333333333195E-2</v>
      </c>
      <c r="S115" s="17">
        <f t="shared" si="9"/>
        <v>1.7333333333333201E-2</v>
      </c>
      <c r="T115" s="58">
        <f t="shared" si="17"/>
        <v>-2.8666666666666729E-2</v>
      </c>
    </row>
    <row r="116" spans="1:20">
      <c r="A116" s="25" t="s">
        <v>115</v>
      </c>
      <c r="B116" s="75">
        <v>43383.946030092593</v>
      </c>
      <c r="C116" s="29">
        <v>11</v>
      </c>
      <c r="D116" s="14">
        <v>10.9</v>
      </c>
      <c r="E116" s="30">
        <v>10.5</v>
      </c>
      <c r="F116" s="35">
        <v>0.91200000000000003</v>
      </c>
      <c r="G116" s="15">
        <v>0.90500000000000003</v>
      </c>
      <c r="H116" s="36">
        <v>0.95099999999999996</v>
      </c>
      <c r="I116" s="40">
        <f t="shared" si="10"/>
        <v>7.7648140697741175E-2</v>
      </c>
      <c r="J116" s="29">
        <v>78384</v>
      </c>
      <c r="K116" s="14">
        <v>100000</v>
      </c>
      <c r="L116" s="30">
        <v>100000</v>
      </c>
      <c r="M116" s="40">
        <f t="shared" si="11"/>
        <v>10.799999999999999</v>
      </c>
      <c r="N116" s="44">
        <f t="shared" si="12"/>
        <v>0.92266666666666675</v>
      </c>
      <c r="O116" s="49">
        <f t="shared" si="13"/>
        <v>-0.20000000000000107</v>
      </c>
      <c r="P116" s="16">
        <f t="shared" si="14"/>
        <v>-0.10000000000000142</v>
      </c>
      <c r="Q116" s="50">
        <f t="shared" si="15"/>
        <v>0.29999999999999893</v>
      </c>
      <c r="R116" s="57">
        <f t="shared" si="16"/>
        <v>1.0666666666666713E-2</v>
      </c>
      <c r="S116" s="17">
        <f t="shared" si="9"/>
        <v>1.7666666666666719E-2</v>
      </c>
      <c r="T116" s="58">
        <f t="shared" si="17"/>
        <v>-2.833333333333321E-2</v>
      </c>
    </row>
    <row r="117" spans="1:20">
      <c r="A117" s="25" t="s">
        <v>116</v>
      </c>
      <c r="B117" s="75">
        <v>43383.954942129632</v>
      </c>
      <c r="C117" s="29">
        <v>11.4</v>
      </c>
      <c r="D117" s="14">
        <v>11.3</v>
      </c>
      <c r="E117" s="30">
        <v>11</v>
      </c>
      <c r="F117" s="35">
        <v>0.90800000000000003</v>
      </c>
      <c r="G117" s="15">
        <v>0.90200000000000002</v>
      </c>
      <c r="H117" s="36">
        <v>0.94699999999999995</v>
      </c>
      <c r="I117" s="40">
        <f t="shared" si="10"/>
        <v>0</v>
      </c>
      <c r="J117" s="29">
        <v>100000</v>
      </c>
      <c r="K117" s="14">
        <v>100000</v>
      </c>
      <c r="L117" s="30">
        <v>100000</v>
      </c>
      <c r="M117" s="40">
        <f t="shared" si="11"/>
        <v>11.233333333333334</v>
      </c>
      <c r="N117" s="44">
        <f t="shared" si="12"/>
        <v>0.91900000000000004</v>
      </c>
      <c r="O117" s="49">
        <f t="shared" si="13"/>
        <v>-0.16666666666666607</v>
      </c>
      <c r="P117" s="16">
        <f t="shared" si="14"/>
        <v>-6.666666666666643E-2</v>
      </c>
      <c r="Q117" s="50">
        <f t="shared" si="15"/>
        <v>0.23333333333333428</v>
      </c>
      <c r="R117" s="57">
        <f t="shared" si="16"/>
        <v>1.100000000000001E-2</v>
      </c>
      <c r="S117" s="17">
        <f t="shared" si="9"/>
        <v>1.7000000000000015E-2</v>
      </c>
      <c r="T117" s="58">
        <f t="shared" si="17"/>
        <v>-2.7999999999999914E-2</v>
      </c>
    </row>
    <row r="118" spans="1:20">
      <c r="A118" s="25" t="s">
        <v>117</v>
      </c>
      <c r="B118" s="75">
        <v>43383.963865740741</v>
      </c>
      <c r="C118" s="29">
        <v>11.8</v>
      </c>
      <c r="D118" s="14">
        <v>11.7</v>
      </c>
      <c r="E118" s="30">
        <v>11.5</v>
      </c>
      <c r="F118" s="35">
        <v>0.90600000000000003</v>
      </c>
      <c r="G118" s="15">
        <v>0.89600000000000002</v>
      </c>
      <c r="H118" s="36">
        <v>0.94399999999999995</v>
      </c>
      <c r="I118" s="40">
        <f t="shared" si="10"/>
        <v>0</v>
      </c>
      <c r="J118" s="29">
        <v>100000</v>
      </c>
      <c r="K118" s="14">
        <v>100000</v>
      </c>
      <c r="L118" s="30">
        <v>100000</v>
      </c>
      <c r="M118" s="40">
        <f t="shared" si="11"/>
        <v>11.666666666666666</v>
      </c>
      <c r="N118" s="44">
        <f t="shared" si="12"/>
        <v>0.91533333333333333</v>
      </c>
      <c r="O118" s="49">
        <f t="shared" si="13"/>
        <v>-0.13333333333333464</v>
      </c>
      <c r="P118" s="16">
        <f t="shared" si="14"/>
        <v>-3.3333333333333215E-2</v>
      </c>
      <c r="Q118" s="50">
        <f t="shared" si="15"/>
        <v>0.16666666666666607</v>
      </c>
      <c r="R118" s="57">
        <f t="shared" si="16"/>
        <v>9.3333333333333046E-3</v>
      </c>
      <c r="S118" s="17">
        <f t="shared" si="9"/>
        <v>1.9333333333333313E-2</v>
      </c>
      <c r="T118" s="58">
        <f t="shared" si="17"/>
        <v>-2.8666666666666618E-2</v>
      </c>
    </row>
    <row r="119" spans="1:20">
      <c r="A119" s="25" t="s">
        <v>118</v>
      </c>
      <c r="B119" s="75">
        <v>43383.972777777781</v>
      </c>
      <c r="C119" s="29">
        <v>12.2</v>
      </c>
      <c r="D119" s="14">
        <v>12.2</v>
      </c>
      <c r="E119" s="30">
        <v>11.9</v>
      </c>
      <c r="F119" s="35">
        <v>0.90300000000000002</v>
      </c>
      <c r="G119" s="15">
        <v>0.88900000000000001</v>
      </c>
      <c r="H119" s="36">
        <v>0.94199999999999995</v>
      </c>
      <c r="I119" s="40">
        <f t="shared" si="10"/>
        <v>0</v>
      </c>
      <c r="J119" s="29">
        <v>100000</v>
      </c>
      <c r="K119" s="14">
        <v>100000</v>
      </c>
      <c r="L119" s="30">
        <v>100000</v>
      </c>
      <c r="M119" s="40">
        <f t="shared" si="11"/>
        <v>12.1</v>
      </c>
      <c r="N119" s="44">
        <f t="shared" si="12"/>
        <v>0.91133333333333333</v>
      </c>
      <c r="O119" s="49">
        <f t="shared" si="13"/>
        <v>-9.9999999999999645E-2</v>
      </c>
      <c r="P119" s="16">
        <f t="shared" si="14"/>
        <v>-9.9999999999999645E-2</v>
      </c>
      <c r="Q119" s="50">
        <f t="shared" si="15"/>
        <v>0.19999999999999929</v>
      </c>
      <c r="R119" s="57">
        <f t="shared" si="16"/>
        <v>8.3333333333333037E-3</v>
      </c>
      <c r="S119" s="17">
        <f t="shared" si="9"/>
        <v>2.2333333333333316E-2</v>
      </c>
      <c r="T119" s="58">
        <f t="shared" si="17"/>
        <v>-3.066666666666662E-2</v>
      </c>
    </row>
    <row r="120" spans="1:20">
      <c r="A120" s="25" t="s">
        <v>119</v>
      </c>
      <c r="B120" s="75">
        <v>43383.98170138889</v>
      </c>
      <c r="C120" s="29">
        <v>12.8</v>
      </c>
      <c r="D120" s="14">
        <v>12.9</v>
      </c>
      <c r="E120" s="30">
        <v>12.5</v>
      </c>
      <c r="F120" s="35">
        <v>0.86699999999999999</v>
      </c>
      <c r="G120" s="15">
        <v>0.85699999999999998</v>
      </c>
      <c r="H120" s="36">
        <v>0.93</v>
      </c>
      <c r="I120" s="40">
        <f t="shared" si="10"/>
        <v>0</v>
      </c>
      <c r="J120" s="29">
        <v>100000</v>
      </c>
      <c r="K120" s="14">
        <v>100000</v>
      </c>
      <c r="L120" s="30">
        <v>100000</v>
      </c>
      <c r="M120" s="40">
        <f t="shared" si="11"/>
        <v>12.733333333333334</v>
      </c>
      <c r="N120" s="44">
        <f t="shared" si="12"/>
        <v>0.8846666666666666</v>
      </c>
      <c r="O120" s="49">
        <f t="shared" si="13"/>
        <v>-6.666666666666643E-2</v>
      </c>
      <c r="P120" s="16">
        <f t="shared" si="14"/>
        <v>-0.16666666666666607</v>
      </c>
      <c r="Q120" s="50">
        <f t="shared" si="15"/>
        <v>0.23333333333333428</v>
      </c>
      <c r="R120" s="57">
        <f t="shared" si="16"/>
        <v>1.7666666666666608E-2</v>
      </c>
      <c r="S120" s="17">
        <f t="shared" si="9"/>
        <v>2.7666666666666617E-2</v>
      </c>
      <c r="T120" s="58">
        <f t="shared" si="17"/>
        <v>-4.5333333333333448E-2</v>
      </c>
    </row>
    <row r="121" spans="1:20">
      <c r="A121" s="25" t="s">
        <v>120</v>
      </c>
      <c r="B121" s="75">
        <v>43383.990613425929</v>
      </c>
      <c r="C121" s="29">
        <v>12.9</v>
      </c>
      <c r="D121" s="14">
        <v>13.3</v>
      </c>
      <c r="E121" s="30">
        <v>12.7</v>
      </c>
      <c r="F121" s="35">
        <v>0.878</v>
      </c>
      <c r="G121" s="15">
        <v>0.84699999999999998</v>
      </c>
      <c r="H121" s="36">
        <v>0.92800000000000005</v>
      </c>
      <c r="I121" s="40">
        <f t="shared" si="10"/>
        <v>0</v>
      </c>
      <c r="J121" s="29">
        <v>100000</v>
      </c>
      <c r="K121" s="14">
        <v>100000</v>
      </c>
      <c r="L121" s="30">
        <v>100000</v>
      </c>
      <c r="M121" s="40">
        <f t="shared" si="11"/>
        <v>12.966666666666669</v>
      </c>
      <c r="N121" s="44">
        <f t="shared" si="12"/>
        <v>0.8843333333333333</v>
      </c>
      <c r="O121" s="49">
        <f t="shared" si="13"/>
        <v>6.6666666666668206E-2</v>
      </c>
      <c r="P121" s="16">
        <f t="shared" si="14"/>
        <v>-0.33333333333333215</v>
      </c>
      <c r="Q121" s="50">
        <f t="shared" si="15"/>
        <v>0.26666666666666927</v>
      </c>
      <c r="R121" s="57">
        <f t="shared" si="16"/>
        <v>6.333333333333302E-3</v>
      </c>
      <c r="S121" s="17">
        <f t="shared" si="9"/>
        <v>3.7333333333333329E-2</v>
      </c>
      <c r="T121" s="58">
        <f t="shared" si="17"/>
        <v>-4.3666666666666742E-2</v>
      </c>
    </row>
    <row r="122" spans="1:20">
      <c r="A122" s="25" t="s">
        <v>121</v>
      </c>
      <c r="B122" s="75">
        <v>43383.999513888892</v>
      </c>
      <c r="C122" s="29">
        <v>13.1</v>
      </c>
      <c r="D122" s="14">
        <v>13.4</v>
      </c>
      <c r="E122" s="30">
        <v>13</v>
      </c>
      <c r="F122" s="35">
        <v>0.88300000000000001</v>
      </c>
      <c r="G122" s="15">
        <v>0.84899999999999998</v>
      </c>
      <c r="H122" s="36">
        <v>0.93</v>
      </c>
      <c r="I122" s="40">
        <f t="shared" si="10"/>
        <v>0</v>
      </c>
      <c r="J122" s="29">
        <v>100000</v>
      </c>
      <c r="K122" s="14">
        <v>100000</v>
      </c>
      <c r="L122" s="30">
        <v>100000</v>
      </c>
      <c r="M122" s="40">
        <f t="shared" si="11"/>
        <v>13.166666666666666</v>
      </c>
      <c r="N122" s="44">
        <f t="shared" si="12"/>
        <v>0.88733333333333331</v>
      </c>
      <c r="O122" s="49">
        <f t="shared" si="13"/>
        <v>6.666666666666643E-2</v>
      </c>
      <c r="P122" s="16">
        <f t="shared" si="14"/>
        <v>-0.23333333333333428</v>
      </c>
      <c r="Q122" s="50">
        <f t="shared" si="15"/>
        <v>0.16666666666666607</v>
      </c>
      <c r="R122" s="57">
        <f t="shared" si="16"/>
        <v>4.3333333333333002E-3</v>
      </c>
      <c r="S122" s="17">
        <f t="shared" si="9"/>
        <v>3.833333333333333E-2</v>
      </c>
      <c r="T122" s="58">
        <f t="shared" si="17"/>
        <v>-4.2666666666666742E-2</v>
      </c>
    </row>
    <row r="123" spans="1:20">
      <c r="A123" s="25" t="s">
        <v>122</v>
      </c>
      <c r="B123" s="75">
        <v>43384.008414351854</v>
      </c>
      <c r="C123" s="29">
        <v>14.4</v>
      </c>
      <c r="D123" s="14">
        <v>14.9</v>
      </c>
      <c r="E123" s="30">
        <v>14.4</v>
      </c>
      <c r="F123" s="35">
        <v>0.86499999999999999</v>
      </c>
      <c r="G123" s="15">
        <v>0.82499999999999996</v>
      </c>
      <c r="H123" s="36">
        <v>0.92</v>
      </c>
      <c r="I123" s="40">
        <f t="shared" si="10"/>
        <v>0</v>
      </c>
      <c r="J123" s="29">
        <v>100000</v>
      </c>
      <c r="K123" s="14">
        <v>100000</v>
      </c>
      <c r="L123" s="30">
        <v>100000</v>
      </c>
      <c r="M123" s="40">
        <f t="shared" si="11"/>
        <v>14.566666666666668</v>
      </c>
      <c r="N123" s="44">
        <f t="shared" si="12"/>
        <v>0.87</v>
      </c>
      <c r="O123" s="49">
        <f t="shared" si="13"/>
        <v>0.16666666666666785</v>
      </c>
      <c r="P123" s="16">
        <f t="shared" si="14"/>
        <v>-0.33333333333333215</v>
      </c>
      <c r="Q123" s="50">
        <f t="shared" si="15"/>
        <v>0.16666666666666785</v>
      </c>
      <c r="R123" s="57">
        <f t="shared" si="16"/>
        <v>5.0000000000000044E-3</v>
      </c>
      <c r="S123" s="17">
        <f t="shared" si="9"/>
        <v>4.500000000000004E-2</v>
      </c>
      <c r="T123" s="58">
        <f t="shared" si="17"/>
        <v>-5.0000000000000044E-2</v>
      </c>
    </row>
    <row r="124" spans="1:20">
      <c r="A124" s="25" t="s">
        <v>123</v>
      </c>
      <c r="B124" s="75">
        <v>43384.01734953704</v>
      </c>
      <c r="C124" s="29">
        <v>15.3</v>
      </c>
      <c r="D124" s="14">
        <v>15.9</v>
      </c>
      <c r="E124" s="30">
        <v>15.3</v>
      </c>
      <c r="F124" s="35">
        <v>0.84499999999999997</v>
      </c>
      <c r="G124" s="15">
        <v>0.80500000000000005</v>
      </c>
      <c r="H124" s="36">
        <v>0.90900000000000003</v>
      </c>
      <c r="I124" s="40">
        <f t="shared" si="10"/>
        <v>0</v>
      </c>
      <c r="J124" s="29">
        <v>100000</v>
      </c>
      <c r="K124" s="14">
        <v>100000</v>
      </c>
      <c r="L124" s="30">
        <v>100000</v>
      </c>
      <c r="M124" s="40">
        <f t="shared" si="11"/>
        <v>15.5</v>
      </c>
      <c r="N124" s="44">
        <f t="shared" si="12"/>
        <v>0.85300000000000009</v>
      </c>
      <c r="O124" s="49">
        <f t="shared" si="13"/>
        <v>0.19999999999999929</v>
      </c>
      <c r="P124" s="16">
        <f t="shared" si="14"/>
        <v>-0.40000000000000036</v>
      </c>
      <c r="Q124" s="50">
        <f t="shared" si="15"/>
        <v>0.19999999999999929</v>
      </c>
      <c r="R124" s="57">
        <f t="shared" si="16"/>
        <v>8.0000000000001181E-3</v>
      </c>
      <c r="S124" s="17">
        <f t="shared" si="9"/>
        <v>4.8000000000000043E-2</v>
      </c>
      <c r="T124" s="58">
        <f t="shared" si="17"/>
        <v>-5.5999999999999939E-2</v>
      </c>
    </row>
    <row r="125" spans="1:20">
      <c r="A125" s="25" t="s">
        <v>124</v>
      </c>
      <c r="B125" s="75">
        <v>43384.026250000003</v>
      </c>
      <c r="C125" s="29">
        <v>15.5</v>
      </c>
      <c r="D125" s="14">
        <v>16</v>
      </c>
      <c r="E125" s="30">
        <v>15.5</v>
      </c>
      <c r="F125" s="35">
        <v>0.83699999999999997</v>
      </c>
      <c r="G125" s="15">
        <v>0.79900000000000004</v>
      </c>
      <c r="H125" s="36">
        <v>0.90500000000000003</v>
      </c>
      <c r="I125" s="40">
        <f t="shared" si="10"/>
        <v>0</v>
      </c>
      <c r="J125" s="29">
        <v>100000</v>
      </c>
      <c r="K125" s="14">
        <v>100000</v>
      </c>
      <c r="L125" s="30">
        <v>100000</v>
      </c>
      <c r="M125" s="40">
        <f t="shared" si="11"/>
        <v>15.666666666666666</v>
      </c>
      <c r="N125" s="44">
        <f t="shared" si="12"/>
        <v>0.84700000000000009</v>
      </c>
      <c r="O125" s="49">
        <f t="shared" si="13"/>
        <v>0.16666666666666607</v>
      </c>
      <c r="P125" s="16">
        <f t="shared" si="14"/>
        <v>-0.33333333333333393</v>
      </c>
      <c r="Q125" s="50">
        <f t="shared" si="15"/>
        <v>0.16666666666666607</v>
      </c>
      <c r="R125" s="57">
        <f t="shared" si="16"/>
        <v>1.000000000000012E-2</v>
      </c>
      <c r="S125" s="17">
        <f t="shared" si="9"/>
        <v>4.8000000000000043E-2</v>
      </c>
      <c r="T125" s="58">
        <f t="shared" si="17"/>
        <v>-5.799999999999994E-2</v>
      </c>
    </row>
    <row r="126" spans="1:20">
      <c r="A126" s="25" t="s">
        <v>125</v>
      </c>
      <c r="B126" s="75">
        <v>43384.035162037035</v>
      </c>
      <c r="C126" s="29">
        <v>15.6</v>
      </c>
      <c r="D126" s="14">
        <v>16.100000000000001</v>
      </c>
      <c r="E126" s="30">
        <v>15.7</v>
      </c>
      <c r="F126" s="35">
        <v>0.83299999999999996</v>
      </c>
      <c r="G126" s="15">
        <v>0.79500000000000004</v>
      </c>
      <c r="H126" s="36">
        <v>0.90400000000000003</v>
      </c>
      <c r="I126" s="40">
        <f t="shared" si="10"/>
        <v>0</v>
      </c>
      <c r="J126" s="29">
        <v>100000</v>
      </c>
      <c r="K126" s="14">
        <v>100000</v>
      </c>
      <c r="L126" s="30">
        <v>100000</v>
      </c>
      <c r="M126" s="40">
        <f t="shared" si="11"/>
        <v>15.800000000000002</v>
      </c>
      <c r="N126" s="44">
        <f t="shared" si="12"/>
        <v>0.84399999999999997</v>
      </c>
      <c r="O126" s="49">
        <f t="shared" si="13"/>
        <v>0.20000000000000284</v>
      </c>
      <c r="P126" s="16">
        <f t="shared" si="14"/>
        <v>-0.29999999999999893</v>
      </c>
      <c r="Q126" s="50">
        <f t="shared" si="15"/>
        <v>0.1000000000000032</v>
      </c>
      <c r="R126" s="57">
        <f t="shared" si="16"/>
        <v>1.100000000000001E-2</v>
      </c>
      <c r="S126" s="17">
        <f t="shared" si="9"/>
        <v>4.8999999999999932E-2</v>
      </c>
      <c r="T126" s="58">
        <f t="shared" si="17"/>
        <v>-6.0000000000000053E-2</v>
      </c>
    </row>
    <row r="127" spans="1:20">
      <c r="A127" s="25" t="s">
        <v>126</v>
      </c>
      <c r="B127" s="75">
        <v>43384.044062499997</v>
      </c>
      <c r="C127" s="29">
        <v>15.7</v>
      </c>
      <c r="D127" s="14">
        <v>16.2</v>
      </c>
      <c r="E127" s="30">
        <v>15.8</v>
      </c>
      <c r="F127" s="35">
        <v>0.83199999999999996</v>
      </c>
      <c r="G127" s="15">
        <v>0.79400000000000004</v>
      </c>
      <c r="H127" s="36">
        <v>0.90400000000000003</v>
      </c>
      <c r="I127" s="40">
        <f t="shared" si="10"/>
        <v>0</v>
      </c>
      <c r="J127" s="29">
        <v>100000</v>
      </c>
      <c r="K127" s="14">
        <v>100000</v>
      </c>
      <c r="L127" s="30">
        <v>100000</v>
      </c>
      <c r="M127" s="40">
        <f t="shared" si="11"/>
        <v>15.9</v>
      </c>
      <c r="N127" s="44">
        <f t="shared" si="12"/>
        <v>0.84333333333333327</v>
      </c>
      <c r="O127" s="49">
        <f t="shared" si="13"/>
        <v>0.20000000000000107</v>
      </c>
      <c r="P127" s="16">
        <f t="shared" si="14"/>
        <v>-0.29999999999999893</v>
      </c>
      <c r="Q127" s="50">
        <f t="shared" si="15"/>
        <v>9.9999999999999645E-2</v>
      </c>
      <c r="R127" s="57">
        <f t="shared" si="16"/>
        <v>1.1333333333333306E-2</v>
      </c>
      <c r="S127" s="17">
        <f t="shared" si="9"/>
        <v>4.9333333333333229E-2</v>
      </c>
      <c r="T127" s="58">
        <f t="shared" si="17"/>
        <v>-6.0666666666666758E-2</v>
      </c>
    </row>
    <row r="128" spans="1:20">
      <c r="A128" s="25" t="s">
        <v>127</v>
      </c>
      <c r="B128" s="75">
        <v>43384.05296296296</v>
      </c>
      <c r="C128" s="29">
        <v>15.8</v>
      </c>
      <c r="D128" s="14">
        <v>16.3</v>
      </c>
      <c r="E128" s="30">
        <v>15.9</v>
      </c>
      <c r="F128" s="35">
        <v>0.83099999999999996</v>
      </c>
      <c r="G128" s="15">
        <v>0.79300000000000004</v>
      </c>
      <c r="H128" s="36">
        <v>0.90400000000000003</v>
      </c>
      <c r="I128" s="40">
        <f t="shared" si="10"/>
        <v>0</v>
      </c>
      <c r="J128" s="29">
        <v>100000</v>
      </c>
      <c r="K128" s="14">
        <v>100000</v>
      </c>
      <c r="L128" s="30">
        <v>100000</v>
      </c>
      <c r="M128" s="40">
        <f t="shared" si="11"/>
        <v>16</v>
      </c>
      <c r="N128" s="44">
        <f t="shared" si="12"/>
        <v>0.84266666666666667</v>
      </c>
      <c r="O128" s="49">
        <f t="shared" si="13"/>
        <v>0.19999999999999929</v>
      </c>
      <c r="P128" s="16">
        <f t="shared" si="14"/>
        <v>-0.30000000000000071</v>
      </c>
      <c r="Q128" s="50">
        <f t="shared" si="15"/>
        <v>9.9999999999999645E-2</v>
      </c>
      <c r="R128" s="57">
        <f t="shared" si="16"/>
        <v>1.1666666666666714E-2</v>
      </c>
      <c r="S128" s="17">
        <f t="shared" si="9"/>
        <v>4.9666666666666637E-2</v>
      </c>
      <c r="T128" s="58">
        <f t="shared" si="17"/>
        <v>-6.1333333333333351E-2</v>
      </c>
    </row>
    <row r="129" spans="1:20">
      <c r="A129" s="25" t="s">
        <v>128</v>
      </c>
      <c r="B129" s="75">
        <v>43384.061863425923</v>
      </c>
      <c r="C129" s="29">
        <v>15.9</v>
      </c>
      <c r="D129" s="14">
        <v>16.3</v>
      </c>
      <c r="E129" s="30">
        <v>15.9</v>
      </c>
      <c r="F129" s="35">
        <v>0.83</v>
      </c>
      <c r="G129" s="15">
        <v>0.79300000000000004</v>
      </c>
      <c r="H129" s="36">
        <v>0.90400000000000003</v>
      </c>
      <c r="I129" s="40">
        <f t="shared" si="10"/>
        <v>0</v>
      </c>
      <c r="J129" s="29">
        <v>100000</v>
      </c>
      <c r="K129" s="14">
        <v>100000</v>
      </c>
      <c r="L129" s="30">
        <v>100000</v>
      </c>
      <c r="M129" s="40">
        <f t="shared" si="11"/>
        <v>16.033333333333335</v>
      </c>
      <c r="N129" s="44">
        <f t="shared" si="12"/>
        <v>0.84233333333333338</v>
      </c>
      <c r="O129" s="49">
        <f t="shared" si="13"/>
        <v>0.13333333333333464</v>
      </c>
      <c r="P129" s="16">
        <f t="shared" si="14"/>
        <v>-0.26666666666666572</v>
      </c>
      <c r="Q129" s="50">
        <f t="shared" si="15"/>
        <v>0.13333333333333464</v>
      </c>
      <c r="R129" s="57">
        <f t="shared" si="16"/>
        <v>1.2333333333333418E-2</v>
      </c>
      <c r="S129" s="17">
        <f t="shared" si="9"/>
        <v>4.933333333333334E-2</v>
      </c>
      <c r="T129" s="58">
        <f t="shared" si="17"/>
        <v>-6.1666666666666647E-2</v>
      </c>
    </row>
    <row r="130" spans="1:20">
      <c r="A130" s="25" t="s">
        <v>129</v>
      </c>
      <c r="B130" s="75">
        <v>43384.070798611108</v>
      </c>
      <c r="C130" s="29">
        <v>16</v>
      </c>
      <c r="D130" s="14">
        <v>16.3</v>
      </c>
      <c r="E130" s="30">
        <v>16</v>
      </c>
      <c r="F130" s="35">
        <v>0.82799999999999996</v>
      </c>
      <c r="G130" s="15">
        <v>0.79300000000000004</v>
      </c>
      <c r="H130" s="36">
        <v>0.90400000000000003</v>
      </c>
      <c r="I130" s="40">
        <f t="shared" si="10"/>
        <v>0</v>
      </c>
      <c r="J130" s="29">
        <v>100000</v>
      </c>
      <c r="K130" s="14">
        <v>100000</v>
      </c>
      <c r="L130" s="30">
        <v>100000</v>
      </c>
      <c r="M130" s="40">
        <f t="shared" si="11"/>
        <v>16.099999999999998</v>
      </c>
      <c r="N130" s="44">
        <f t="shared" si="12"/>
        <v>0.84166666666666667</v>
      </c>
      <c r="O130" s="49">
        <f t="shared" si="13"/>
        <v>9.9999999999997868E-2</v>
      </c>
      <c r="P130" s="16">
        <f t="shared" si="14"/>
        <v>-0.20000000000000284</v>
      </c>
      <c r="Q130" s="50">
        <f t="shared" si="15"/>
        <v>9.9999999999997868E-2</v>
      </c>
      <c r="R130" s="57">
        <f t="shared" si="16"/>
        <v>1.3666666666666716E-2</v>
      </c>
      <c r="S130" s="17">
        <f t="shared" ref="S130:S193" si="18">N130-G130</f>
        <v>4.8666666666666636E-2</v>
      </c>
      <c r="T130" s="58">
        <f t="shared" si="17"/>
        <v>-6.2333333333333352E-2</v>
      </c>
    </row>
    <row r="131" spans="1:20">
      <c r="A131" s="25" t="s">
        <v>130</v>
      </c>
      <c r="B131" s="75">
        <v>43384.079699074071</v>
      </c>
      <c r="C131" s="29">
        <v>16</v>
      </c>
      <c r="D131" s="14">
        <v>16.399999999999999</v>
      </c>
      <c r="E131" s="30">
        <v>16</v>
      </c>
      <c r="F131" s="35">
        <v>0.82599999999999996</v>
      </c>
      <c r="G131" s="15">
        <v>0.79200000000000004</v>
      </c>
      <c r="H131" s="36">
        <v>0.90300000000000002</v>
      </c>
      <c r="I131" s="40">
        <f t="shared" ref="I131:I194" si="19">100000/AVERAGE(J131:L131)-1</f>
        <v>0</v>
      </c>
      <c r="J131" s="29">
        <v>100000</v>
      </c>
      <c r="K131" s="14">
        <v>100000</v>
      </c>
      <c r="L131" s="30">
        <v>100000</v>
      </c>
      <c r="M131" s="40">
        <f t="shared" ref="M131:M194" si="20">AVERAGE(C131:E131)</f>
        <v>16.133333333333333</v>
      </c>
      <c r="N131" s="44">
        <f t="shared" ref="N131:N194" si="21">AVERAGE(F131:H131)</f>
        <v>0.84033333333333327</v>
      </c>
      <c r="O131" s="49">
        <f t="shared" ref="O131:O194" si="22">M131-C131</f>
        <v>0.13333333333333286</v>
      </c>
      <c r="P131" s="16">
        <f t="shared" ref="P131:P194" si="23">M131-D131</f>
        <v>-0.26666666666666572</v>
      </c>
      <c r="Q131" s="50">
        <f t="shared" ref="Q131:Q194" si="24">M131-E131</f>
        <v>0.13333333333333286</v>
      </c>
      <c r="R131" s="57">
        <f t="shared" ref="R131:R194" si="25">N131-F131</f>
        <v>1.4333333333333309E-2</v>
      </c>
      <c r="S131" s="17">
        <f t="shared" si="18"/>
        <v>4.8333333333333228E-2</v>
      </c>
      <c r="T131" s="58">
        <f t="shared" ref="T131:T194" si="26">N131-H131</f>
        <v>-6.2666666666666759E-2</v>
      </c>
    </row>
    <row r="132" spans="1:20">
      <c r="A132" s="25" t="s">
        <v>131</v>
      </c>
      <c r="B132" s="75">
        <v>43384.08861111111</v>
      </c>
      <c r="C132" s="29">
        <v>16.100000000000001</v>
      </c>
      <c r="D132" s="14">
        <v>16.399999999999999</v>
      </c>
      <c r="E132" s="30">
        <v>16.100000000000001</v>
      </c>
      <c r="F132" s="35">
        <v>0.82499999999999996</v>
      </c>
      <c r="G132" s="15">
        <v>0.79200000000000004</v>
      </c>
      <c r="H132" s="36">
        <v>0.90300000000000002</v>
      </c>
      <c r="I132" s="40">
        <f t="shared" si="19"/>
        <v>0</v>
      </c>
      <c r="J132" s="29">
        <v>100000</v>
      </c>
      <c r="K132" s="14">
        <v>100000</v>
      </c>
      <c r="L132" s="30">
        <v>100000</v>
      </c>
      <c r="M132" s="40">
        <f t="shared" si="20"/>
        <v>16.2</v>
      </c>
      <c r="N132" s="44">
        <f t="shared" si="21"/>
        <v>0.84</v>
      </c>
      <c r="O132" s="49">
        <f t="shared" si="22"/>
        <v>9.9999999999997868E-2</v>
      </c>
      <c r="P132" s="16">
        <f t="shared" si="23"/>
        <v>-0.19999999999999929</v>
      </c>
      <c r="Q132" s="50">
        <f t="shared" si="24"/>
        <v>9.9999999999997868E-2</v>
      </c>
      <c r="R132" s="57">
        <f t="shared" si="25"/>
        <v>1.5000000000000013E-2</v>
      </c>
      <c r="S132" s="17">
        <f t="shared" si="18"/>
        <v>4.7999999999999932E-2</v>
      </c>
      <c r="T132" s="58">
        <f t="shared" si="26"/>
        <v>-6.3000000000000056E-2</v>
      </c>
    </row>
    <row r="133" spans="1:20">
      <c r="A133" s="25" t="s">
        <v>132</v>
      </c>
      <c r="B133" s="75">
        <v>43384.097511574073</v>
      </c>
      <c r="C133" s="29">
        <v>16.2</v>
      </c>
      <c r="D133" s="14">
        <v>16.399999999999999</v>
      </c>
      <c r="E133" s="30">
        <v>16.100000000000001</v>
      </c>
      <c r="F133" s="35">
        <v>0.82399999999999995</v>
      </c>
      <c r="G133" s="15">
        <v>0.79100000000000004</v>
      </c>
      <c r="H133" s="36">
        <v>0.90300000000000002</v>
      </c>
      <c r="I133" s="40">
        <f t="shared" si="19"/>
        <v>0</v>
      </c>
      <c r="J133" s="29">
        <v>100000</v>
      </c>
      <c r="K133" s="14">
        <v>100000</v>
      </c>
      <c r="L133" s="30">
        <v>100000</v>
      </c>
      <c r="M133" s="40">
        <f t="shared" si="20"/>
        <v>16.233333333333331</v>
      </c>
      <c r="N133" s="44">
        <f t="shared" si="21"/>
        <v>0.83933333333333326</v>
      </c>
      <c r="O133" s="49">
        <f t="shared" si="22"/>
        <v>3.3333333333331439E-2</v>
      </c>
      <c r="P133" s="16">
        <f t="shared" si="23"/>
        <v>-0.16666666666666785</v>
      </c>
      <c r="Q133" s="50">
        <f t="shared" si="24"/>
        <v>0.13333333333332931</v>
      </c>
      <c r="R133" s="57">
        <f t="shared" si="25"/>
        <v>1.533333333333331E-2</v>
      </c>
      <c r="S133" s="17">
        <f t="shared" si="18"/>
        <v>4.8333333333333228E-2</v>
      </c>
      <c r="T133" s="58">
        <f t="shared" si="26"/>
        <v>-6.366666666666676E-2</v>
      </c>
    </row>
    <row r="134" spans="1:20">
      <c r="A134" s="25" t="s">
        <v>133</v>
      </c>
      <c r="B134" s="75">
        <v>43384.106412037036</v>
      </c>
      <c r="C134" s="29">
        <v>16.2</v>
      </c>
      <c r="D134" s="14">
        <v>16.5</v>
      </c>
      <c r="E134" s="30">
        <v>16.2</v>
      </c>
      <c r="F134" s="35">
        <v>0.82099999999999995</v>
      </c>
      <c r="G134" s="15">
        <v>0.79</v>
      </c>
      <c r="H134" s="36">
        <v>0.90200000000000002</v>
      </c>
      <c r="I134" s="40">
        <f t="shared" si="19"/>
        <v>0</v>
      </c>
      <c r="J134" s="29">
        <v>100000</v>
      </c>
      <c r="K134" s="14">
        <v>100000</v>
      </c>
      <c r="L134" s="30">
        <v>100000</v>
      </c>
      <c r="M134" s="40">
        <f t="shared" si="20"/>
        <v>16.3</v>
      </c>
      <c r="N134" s="44">
        <f t="shared" si="21"/>
        <v>0.83766666666666667</v>
      </c>
      <c r="O134" s="49">
        <f t="shared" si="22"/>
        <v>0.10000000000000142</v>
      </c>
      <c r="P134" s="16">
        <f t="shared" si="23"/>
        <v>-0.19999999999999929</v>
      </c>
      <c r="Q134" s="50">
        <f t="shared" si="24"/>
        <v>0.10000000000000142</v>
      </c>
      <c r="R134" s="57">
        <f t="shared" si="25"/>
        <v>1.6666666666666718E-2</v>
      </c>
      <c r="S134" s="17">
        <f t="shared" si="18"/>
        <v>4.7666666666666635E-2</v>
      </c>
      <c r="T134" s="58">
        <f t="shared" si="26"/>
        <v>-6.4333333333333353E-2</v>
      </c>
    </row>
    <row r="135" spans="1:20">
      <c r="A135" s="25" t="s">
        <v>134</v>
      </c>
      <c r="B135" s="75">
        <v>43384.115347222221</v>
      </c>
      <c r="C135" s="29">
        <v>16.2</v>
      </c>
      <c r="D135" s="14">
        <v>16.5</v>
      </c>
      <c r="E135" s="30">
        <v>16.2</v>
      </c>
      <c r="F135" s="35">
        <v>0.82</v>
      </c>
      <c r="G135" s="15">
        <v>0.79</v>
      </c>
      <c r="H135" s="36">
        <v>0.90200000000000002</v>
      </c>
      <c r="I135" s="40">
        <f t="shared" si="19"/>
        <v>0</v>
      </c>
      <c r="J135" s="29">
        <v>100000</v>
      </c>
      <c r="K135" s="14">
        <v>100000</v>
      </c>
      <c r="L135" s="30">
        <v>100000</v>
      </c>
      <c r="M135" s="40">
        <f t="shared" si="20"/>
        <v>16.3</v>
      </c>
      <c r="N135" s="44">
        <f t="shared" si="21"/>
        <v>0.83733333333333337</v>
      </c>
      <c r="O135" s="49">
        <f t="shared" si="22"/>
        <v>0.10000000000000142</v>
      </c>
      <c r="P135" s="16">
        <f t="shared" si="23"/>
        <v>-0.19999999999999929</v>
      </c>
      <c r="Q135" s="50">
        <f t="shared" si="24"/>
        <v>0.10000000000000142</v>
      </c>
      <c r="R135" s="57">
        <f t="shared" si="25"/>
        <v>1.7333333333333423E-2</v>
      </c>
      <c r="S135" s="17">
        <f t="shared" si="18"/>
        <v>4.7333333333333338E-2</v>
      </c>
      <c r="T135" s="58">
        <f t="shared" si="26"/>
        <v>-6.466666666666665E-2</v>
      </c>
    </row>
    <row r="136" spans="1:20">
      <c r="A136" s="25" t="s">
        <v>135</v>
      </c>
      <c r="B136" s="75">
        <v>43384.124247685184</v>
      </c>
      <c r="C136" s="29">
        <v>16.3</v>
      </c>
      <c r="D136" s="14">
        <v>16.5</v>
      </c>
      <c r="E136" s="30">
        <v>16.3</v>
      </c>
      <c r="F136" s="35">
        <v>0.81799999999999995</v>
      </c>
      <c r="G136" s="15">
        <v>0.78900000000000003</v>
      </c>
      <c r="H136" s="36">
        <v>0.90100000000000002</v>
      </c>
      <c r="I136" s="40">
        <f t="shared" si="19"/>
        <v>0</v>
      </c>
      <c r="J136" s="29">
        <v>100000</v>
      </c>
      <c r="K136" s="14">
        <v>100000</v>
      </c>
      <c r="L136" s="30">
        <v>100000</v>
      </c>
      <c r="M136" s="40">
        <f t="shared" si="20"/>
        <v>16.366666666666664</v>
      </c>
      <c r="N136" s="44">
        <f t="shared" si="21"/>
        <v>0.83599999999999997</v>
      </c>
      <c r="O136" s="49">
        <f t="shared" si="22"/>
        <v>6.6666666666662877E-2</v>
      </c>
      <c r="P136" s="16">
        <f t="shared" si="23"/>
        <v>-0.13333333333333641</v>
      </c>
      <c r="Q136" s="50">
        <f t="shared" si="24"/>
        <v>6.6666666666662877E-2</v>
      </c>
      <c r="R136" s="57">
        <f t="shared" si="25"/>
        <v>1.8000000000000016E-2</v>
      </c>
      <c r="S136" s="17">
        <f t="shared" si="18"/>
        <v>4.6999999999999931E-2</v>
      </c>
      <c r="T136" s="58">
        <f t="shared" si="26"/>
        <v>-6.5000000000000058E-2</v>
      </c>
    </row>
    <row r="137" spans="1:20">
      <c r="A137" s="25" t="s">
        <v>136</v>
      </c>
      <c r="B137" s="75">
        <v>43384.133159722223</v>
      </c>
      <c r="C137" s="29">
        <v>16.3</v>
      </c>
      <c r="D137" s="14">
        <v>16.5</v>
      </c>
      <c r="E137" s="30">
        <v>16.3</v>
      </c>
      <c r="F137" s="35">
        <v>0.81599999999999995</v>
      </c>
      <c r="G137" s="15">
        <v>0.78900000000000003</v>
      </c>
      <c r="H137" s="36">
        <v>0.90100000000000002</v>
      </c>
      <c r="I137" s="40">
        <f t="shared" si="19"/>
        <v>0</v>
      </c>
      <c r="J137" s="29">
        <v>100000</v>
      </c>
      <c r="K137" s="14">
        <v>100000</v>
      </c>
      <c r="L137" s="30">
        <v>100000</v>
      </c>
      <c r="M137" s="40">
        <f t="shared" si="20"/>
        <v>16.366666666666664</v>
      </c>
      <c r="N137" s="44">
        <f t="shared" si="21"/>
        <v>0.83533333333333337</v>
      </c>
      <c r="O137" s="49">
        <f t="shared" si="22"/>
        <v>6.6666666666662877E-2</v>
      </c>
      <c r="P137" s="16">
        <f t="shared" si="23"/>
        <v>-0.13333333333333641</v>
      </c>
      <c r="Q137" s="50">
        <f t="shared" si="24"/>
        <v>6.6666666666662877E-2</v>
      </c>
      <c r="R137" s="57">
        <f t="shared" si="25"/>
        <v>1.9333333333333425E-2</v>
      </c>
      <c r="S137" s="17">
        <f t="shared" si="18"/>
        <v>4.6333333333333337E-2</v>
      </c>
      <c r="T137" s="58">
        <f t="shared" si="26"/>
        <v>-6.5666666666666651E-2</v>
      </c>
    </row>
    <row r="138" spans="1:20">
      <c r="A138" s="25" t="s">
        <v>137</v>
      </c>
      <c r="B138" s="75">
        <v>43384.142060185186</v>
      </c>
      <c r="C138" s="29">
        <v>16.3</v>
      </c>
      <c r="D138" s="14">
        <v>16.600000000000001</v>
      </c>
      <c r="E138" s="30">
        <v>16.3</v>
      </c>
      <c r="F138" s="35">
        <v>0.81499999999999995</v>
      </c>
      <c r="G138" s="15">
        <v>0.78900000000000003</v>
      </c>
      <c r="H138" s="36">
        <v>0.90100000000000002</v>
      </c>
      <c r="I138" s="40">
        <f t="shared" si="19"/>
        <v>0</v>
      </c>
      <c r="J138" s="29">
        <v>100000</v>
      </c>
      <c r="K138" s="14">
        <v>100000</v>
      </c>
      <c r="L138" s="30">
        <v>100000</v>
      </c>
      <c r="M138" s="40">
        <f t="shared" si="20"/>
        <v>16.400000000000002</v>
      </c>
      <c r="N138" s="44">
        <f t="shared" si="21"/>
        <v>0.83499999999999996</v>
      </c>
      <c r="O138" s="49">
        <f t="shared" si="22"/>
        <v>0.10000000000000142</v>
      </c>
      <c r="P138" s="16">
        <f t="shared" si="23"/>
        <v>-0.19999999999999929</v>
      </c>
      <c r="Q138" s="50">
        <f t="shared" si="24"/>
        <v>0.10000000000000142</v>
      </c>
      <c r="R138" s="57">
        <f t="shared" si="25"/>
        <v>2.0000000000000018E-2</v>
      </c>
      <c r="S138" s="17">
        <f t="shared" si="18"/>
        <v>4.599999999999993E-2</v>
      </c>
      <c r="T138" s="58">
        <f t="shared" si="26"/>
        <v>-6.6000000000000059E-2</v>
      </c>
    </row>
    <row r="139" spans="1:20">
      <c r="A139" s="25" t="s">
        <v>138</v>
      </c>
      <c r="B139" s="75">
        <v>43384.150960648149</v>
      </c>
      <c r="C139" s="29">
        <v>16.399999999999999</v>
      </c>
      <c r="D139" s="14">
        <v>16.600000000000001</v>
      </c>
      <c r="E139" s="30">
        <v>16.399999999999999</v>
      </c>
      <c r="F139" s="35">
        <v>0.81299999999999994</v>
      </c>
      <c r="G139" s="15">
        <v>0.78300000000000003</v>
      </c>
      <c r="H139" s="36">
        <v>0.89700000000000002</v>
      </c>
      <c r="I139" s="40">
        <f t="shared" si="19"/>
        <v>0</v>
      </c>
      <c r="J139" s="29">
        <v>100000</v>
      </c>
      <c r="K139" s="14">
        <v>100000</v>
      </c>
      <c r="L139" s="30">
        <v>100000</v>
      </c>
      <c r="M139" s="40">
        <f t="shared" si="20"/>
        <v>16.466666666666665</v>
      </c>
      <c r="N139" s="44">
        <f t="shared" si="21"/>
        <v>0.83100000000000007</v>
      </c>
      <c r="O139" s="49">
        <f t="shared" si="22"/>
        <v>6.666666666666643E-2</v>
      </c>
      <c r="P139" s="16">
        <f t="shared" si="23"/>
        <v>-0.13333333333333641</v>
      </c>
      <c r="Q139" s="50">
        <f t="shared" si="24"/>
        <v>6.666666666666643E-2</v>
      </c>
      <c r="R139" s="57">
        <f t="shared" si="25"/>
        <v>1.8000000000000127E-2</v>
      </c>
      <c r="S139" s="17">
        <f t="shared" si="18"/>
        <v>4.8000000000000043E-2</v>
      </c>
      <c r="T139" s="58">
        <f t="shared" si="26"/>
        <v>-6.5999999999999948E-2</v>
      </c>
    </row>
    <row r="140" spans="1:20">
      <c r="A140" s="25" t="s">
        <v>139</v>
      </c>
      <c r="B140" s="75">
        <v>43384.159895833334</v>
      </c>
      <c r="C140" s="29">
        <v>16.399999999999999</v>
      </c>
      <c r="D140" s="14">
        <v>16.600000000000001</v>
      </c>
      <c r="E140" s="30">
        <v>16.399999999999999</v>
      </c>
      <c r="F140" s="35">
        <v>0.81</v>
      </c>
      <c r="G140" s="15">
        <v>0.77700000000000002</v>
      </c>
      <c r="H140" s="36">
        <v>0.89400000000000002</v>
      </c>
      <c r="I140" s="40">
        <f t="shared" si="19"/>
        <v>0</v>
      </c>
      <c r="J140" s="29">
        <v>100000</v>
      </c>
      <c r="K140" s="14">
        <v>100000</v>
      </c>
      <c r="L140" s="30">
        <v>100000</v>
      </c>
      <c r="M140" s="40">
        <f t="shared" si="20"/>
        <v>16.466666666666665</v>
      </c>
      <c r="N140" s="44">
        <f t="shared" si="21"/>
        <v>0.82700000000000007</v>
      </c>
      <c r="O140" s="49">
        <f t="shared" si="22"/>
        <v>6.666666666666643E-2</v>
      </c>
      <c r="P140" s="16">
        <f t="shared" si="23"/>
        <v>-0.13333333333333641</v>
      </c>
      <c r="Q140" s="50">
        <f t="shared" si="24"/>
        <v>6.666666666666643E-2</v>
      </c>
      <c r="R140" s="57">
        <f t="shared" si="25"/>
        <v>1.7000000000000015E-2</v>
      </c>
      <c r="S140" s="17">
        <f t="shared" si="18"/>
        <v>5.0000000000000044E-2</v>
      </c>
      <c r="T140" s="58">
        <f t="shared" si="26"/>
        <v>-6.6999999999999948E-2</v>
      </c>
    </row>
    <row r="141" spans="1:20">
      <c r="A141" s="25" t="s">
        <v>140</v>
      </c>
      <c r="B141" s="75">
        <v>43384.168796296297</v>
      </c>
      <c r="C141" s="29">
        <v>16.399999999999999</v>
      </c>
      <c r="D141" s="14">
        <v>16.7</v>
      </c>
      <c r="E141" s="30">
        <v>16.5</v>
      </c>
      <c r="F141" s="35">
        <v>0.80600000000000005</v>
      </c>
      <c r="G141" s="15">
        <v>0.77500000000000002</v>
      </c>
      <c r="H141" s="36">
        <v>0.88900000000000001</v>
      </c>
      <c r="I141" s="40">
        <f t="shared" si="19"/>
        <v>0</v>
      </c>
      <c r="J141" s="29">
        <v>100000</v>
      </c>
      <c r="K141" s="14">
        <v>100000</v>
      </c>
      <c r="L141" s="30">
        <v>100000</v>
      </c>
      <c r="M141" s="40">
        <f t="shared" si="20"/>
        <v>16.533333333333331</v>
      </c>
      <c r="N141" s="44">
        <f t="shared" si="21"/>
        <v>0.82333333333333325</v>
      </c>
      <c r="O141" s="49">
        <f t="shared" si="22"/>
        <v>0.13333333333333286</v>
      </c>
      <c r="P141" s="16">
        <f t="shared" si="23"/>
        <v>-0.16666666666666785</v>
      </c>
      <c r="Q141" s="50">
        <f t="shared" si="24"/>
        <v>3.3333333333331439E-2</v>
      </c>
      <c r="R141" s="57">
        <f t="shared" si="25"/>
        <v>1.7333333333333201E-2</v>
      </c>
      <c r="S141" s="17">
        <f t="shared" si="18"/>
        <v>4.8333333333333228E-2</v>
      </c>
      <c r="T141" s="58">
        <f t="shared" si="26"/>
        <v>-6.5666666666666762E-2</v>
      </c>
    </row>
    <row r="142" spans="1:20">
      <c r="A142" s="25" t="s">
        <v>141</v>
      </c>
      <c r="B142" s="75">
        <v>43384.17769675926</v>
      </c>
      <c r="C142" s="29">
        <v>16.5</v>
      </c>
      <c r="D142" s="14">
        <v>16.7</v>
      </c>
      <c r="E142" s="30">
        <v>16.5</v>
      </c>
      <c r="F142" s="35">
        <v>0.80600000000000005</v>
      </c>
      <c r="G142" s="15">
        <v>0.77400000000000002</v>
      </c>
      <c r="H142" s="36">
        <v>0.88800000000000001</v>
      </c>
      <c r="I142" s="40">
        <f t="shared" si="19"/>
        <v>0</v>
      </c>
      <c r="J142" s="29">
        <v>100000</v>
      </c>
      <c r="K142" s="14">
        <v>100000</v>
      </c>
      <c r="L142" s="30">
        <v>100000</v>
      </c>
      <c r="M142" s="40">
        <f t="shared" si="20"/>
        <v>16.566666666666666</v>
      </c>
      <c r="N142" s="44">
        <f t="shared" si="21"/>
        <v>0.82266666666666666</v>
      </c>
      <c r="O142" s="49">
        <f t="shared" si="22"/>
        <v>6.666666666666643E-2</v>
      </c>
      <c r="P142" s="16">
        <f t="shared" si="23"/>
        <v>-0.13333333333333286</v>
      </c>
      <c r="Q142" s="50">
        <f t="shared" si="24"/>
        <v>6.666666666666643E-2</v>
      </c>
      <c r="R142" s="57">
        <f t="shared" si="25"/>
        <v>1.6666666666666607E-2</v>
      </c>
      <c r="S142" s="17">
        <f t="shared" si="18"/>
        <v>4.8666666666666636E-2</v>
      </c>
      <c r="T142" s="58">
        <f t="shared" si="26"/>
        <v>-6.5333333333333354E-2</v>
      </c>
    </row>
    <row r="143" spans="1:20">
      <c r="A143" s="25" t="s">
        <v>142</v>
      </c>
      <c r="B143" s="75">
        <v>43384.186608796299</v>
      </c>
      <c r="C143" s="29">
        <v>16.5</v>
      </c>
      <c r="D143" s="14">
        <v>16.7</v>
      </c>
      <c r="E143" s="30">
        <v>16.5</v>
      </c>
      <c r="F143" s="35">
        <v>0.80400000000000005</v>
      </c>
      <c r="G143" s="15">
        <v>0.77200000000000002</v>
      </c>
      <c r="H143" s="36">
        <v>0.88600000000000001</v>
      </c>
      <c r="I143" s="40">
        <f t="shared" si="19"/>
        <v>0</v>
      </c>
      <c r="J143" s="29">
        <v>100000</v>
      </c>
      <c r="K143" s="14">
        <v>100000</v>
      </c>
      <c r="L143" s="30">
        <v>100000</v>
      </c>
      <c r="M143" s="40">
        <f t="shared" si="20"/>
        <v>16.566666666666666</v>
      </c>
      <c r="N143" s="44">
        <f t="shared" si="21"/>
        <v>0.82066666666666677</v>
      </c>
      <c r="O143" s="49">
        <f t="shared" si="22"/>
        <v>6.666666666666643E-2</v>
      </c>
      <c r="P143" s="16">
        <f t="shared" si="23"/>
        <v>-0.13333333333333286</v>
      </c>
      <c r="Q143" s="50">
        <f t="shared" si="24"/>
        <v>6.666666666666643E-2</v>
      </c>
      <c r="R143" s="57">
        <f t="shared" si="25"/>
        <v>1.6666666666666718E-2</v>
      </c>
      <c r="S143" s="17">
        <f t="shared" si="18"/>
        <v>4.8666666666666747E-2</v>
      </c>
      <c r="T143" s="58">
        <f t="shared" si="26"/>
        <v>-6.5333333333333243E-2</v>
      </c>
    </row>
    <row r="144" spans="1:20">
      <c r="A144" s="25" t="s">
        <v>143</v>
      </c>
      <c r="B144" s="75">
        <v>43384.195532407408</v>
      </c>
      <c r="C144" s="29">
        <v>16.5</v>
      </c>
      <c r="D144" s="14">
        <v>16.8</v>
      </c>
      <c r="E144" s="30">
        <v>16.5</v>
      </c>
      <c r="F144" s="35">
        <v>0.80100000000000005</v>
      </c>
      <c r="G144" s="15">
        <v>0.76900000000000002</v>
      </c>
      <c r="H144" s="36">
        <v>0.88300000000000001</v>
      </c>
      <c r="I144" s="40">
        <f t="shared" si="19"/>
        <v>0</v>
      </c>
      <c r="J144" s="29">
        <v>100000</v>
      </c>
      <c r="K144" s="14">
        <v>100000</v>
      </c>
      <c r="L144" s="30">
        <v>100000</v>
      </c>
      <c r="M144" s="40">
        <f t="shared" si="20"/>
        <v>16.599999999999998</v>
      </c>
      <c r="N144" s="44">
        <f t="shared" si="21"/>
        <v>0.81766666666666676</v>
      </c>
      <c r="O144" s="49">
        <f t="shared" si="22"/>
        <v>9.9999999999997868E-2</v>
      </c>
      <c r="P144" s="16">
        <f t="shared" si="23"/>
        <v>-0.20000000000000284</v>
      </c>
      <c r="Q144" s="50">
        <f t="shared" si="24"/>
        <v>9.9999999999997868E-2</v>
      </c>
      <c r="R144" s="57">
        <f t="shared" si="25"/>
        <v>1.6666666666666718E-2</v>
      </c>
      <c r="S144" s="17">
        <f t="shared" si="18"/>
        <v>4.8666666666666747E-2</v>
      </c>
      <c r="T144" s="58">
        <f t="shared" si="26"/>
        <v>-6.5333333333333243E-2</v>
      </c>
    </row>
    <row r="145" spans="1:20">
      <c r="A145" s="25" t="s">
        <v>144</v>
      </c>
      <c r="B145" s="75">
        <v>43384.204444444447</v>
      </c>
      <c r="C145" s="29">
        <v>16.600000000000001</v>
      </c>
      <c r="D145" s="14">
        <v>16.8</v>
      </c>
      <c r="E145" s="30">
        <v>16.600000000000001</v>
      </c>
      <c r="F145" s="35">
        <v>0.8</v>
      </c>
      <c r="G145" s="15">
        <v>0.76900000000000002</v>
      </c>
      <c r="H145" s="36">
        <v>0.88200000000000001</v>
      </c>
      <c r="I145" s="40">
        <f t="shared" si="19"/>
        <v>0</v>
      </c>
      <c r="J145" s="29">
        <v>100000</v>
      </c>
      <c r="K145" s="14">
        <v>100000</v>
      </c>
      <c r="L145" s="30">
        <v>100000</v>
      </c>
      <c r="M145" s="40">
        <f t="shared" si="20"/>
        <v>16.666666666666668</v>
      </c>
      <c r="N145" s="44">
        <f t="shared" si="21"/>
        <v>0.81700000000000006</v>
      </c>
      <c r="O145" s="49">
        <f t="shared" si="22"/>
        <v>6.666666666666643E-2</v>
      </c>
      <c r="P145" s="16">
        <f t="shared" si="23"/>
        <v>-0.13333333333333286</v>
      </c>
      <c r="Q145" s="50">
        <f t="shared" si="24"/>
        <v>6.666666666666643E-2</v>
      </c>
      <c r="R145" s="57">
        <f t="shared" si="25"/>
        <v>1.7000000000000015E-2</v>
      </c>
      <c r="S145" s="17">
        <f t="shared" si="18"/>
        <v>4.8000000000000043E-2</v>
      </c>
      <c r="T145" s="58">
        <f t="shared" si="26"/>
        <v>-6.4999999999999947E-2</v>
      </c>
    </row>
    <row r="146" spans="1:20">
      <c r="A146" s="25" t="s">
        <v>145</v>
      </c>
      <c r="B146" s="75">
        <v>43384.21334490741</v>
      </c>
      <c r="C146" s="29">
        <v>16.600000000000001</v>
      </c>
      <c r="D146" s="14">
        <v>16.8</v>
      </c>
      <c r="E146" s="30">
        <v>16.600000000000001</v>
      </c>
      <c r="F146" s="35">
        <v>0.79800000000000004</v>
      </c>
      <c r="G146" s="15">
        <v>0.76800000000000002</v>
      </c>
      <c r="H146" s="36">
        <v>0.88100000000000001</v>
      </c>
      <c r="I146" s="40">
        <f t="shared" si="19"/>
        <v>0</v>
      </c>
      <c r="J146" s="29">
        <v>100000</v>
      </c>
      <c r="K146" s="14">
        <v>100000</v>
      </c>
      <c r="L146" s="30">
        <v>100000</v>
      </c>
      <c r="M146" s="40">
        <f t="shared" si="20"/>
        <v>16.666666666666668</v>
      </c>
      <c r="N146" s="44">
        <f t="shared" si="21"/>
        <v>0.81566666666666665</v>
      </c>
      <c r="O146" s="49">
        <f t="shared" si="22"/>
        <v>6.666666666666643E-2</v>
      </c>
      <c r="P146" s="16">
        <f t="shared" si="23"/>
        <v>-0.13333333333333286</v>
      </c>
      <c r="Q146" s="50">
        <f t="shared" si="24"/>
        <v>6.666666666666643E-2</v>
      </c>
      <c r="R146" s="57">
        <f t="shared" si="25"/>
        <v>1.7666666666666608E-2</v>
      </c>
      <c r="S146" s="17">
        <f t="shared" si="18"/>
        <v>4.7666666666666635E-2</v>
      </c>
      <c r="T146" s="58">
        <f t="shared" si="26"/>
        <v>-6.5333333333333354E-2</v>
      </c>
    </row>
    <row r="147" spans="1:20">
      <c r="A147" s="25" t="s">
        <v>146</v>
      </c>
      <c r="B147" s="75">
        <v>43384.222245370373</v>
      </c>
      <c r="C147" s="29">
        <v>16.600000000000001</v>
      </c>
      <c r="D147" s="14">
        <v>16.8</v>
      </c>
      <c r="E147" s="30">
        <v>16.600000000000001</v>
      </c>
      <c r="F147" s="35">
        <v>0.79900000000000004</v>
      </c>
      <c r="G147" s="15">
        <v>0.77</v>
      </c>
      <c r="H147" s="36">
        <v>0.88200000000000001</v>
      </c>
      <c r="I147" s="40">
        <f t="shared" si="19"/>
        <v>0</v>
      </c>
      <c r="J147" s="29">
        <v>100000</v>
      </c>
      <c r="K147" s="14">
        <v>100000</v>
      </c>
      <c r="L147" s="30">
        <v>100000</v>
      </c>
      <c r="M147" s="40">
        <f t="shared" si="20"/>
        <v>16.666666666666668</v>
      </c>
      <c r="N147" s="44">
        <f t="shared" si="21"/>
        <v>0.81700000000000006</v>
      </c>
      <c r="O147" s="49">
        <f t="shared" si="22"/>
        <v>6.666666666666643E-2</v>
      </c>
      <c r="P147" s="16">
        <f t="shared" si="23"/>
        <v>-0.13333333333333286</v>
      </c>
      <c r="Q147" s="50">
        <f t="shared" si="24"/>
        <v>6.666666666666643E-2</v>
      </c>
      <c r="R147" s="57">
        <f t="shared" si="25"/>
        <v>1.8000000000000016E-2</v>
      </c>
      <c r="S147" s="17">
        <f t="shared" si="18"/>
        <v>4.7000000000000042E-2</v>
      </c>
      <c r="T147" s="58">
        <f t="shared" si="26"/>
        <v>-6.4999999999999947E-2</v>
      </c>
    </row>
    <row r="148" spans="1:20">
      <c r="A148" s="25" t="s">
        <v>147</v>
      </c>
      <c r="B148" s="75">
        <v>43384.231180555558</v>
      </c>
      <c r="C148" s="29">
        <v>16.600000000000001</v>
      </c>
      <c r="D148" s="14">
        <v>16.8</v>
      </c>
      <c r="E148" s="30">
        <v>16.600000000000001</v>
      </c>
      <c r="F148" s="35">
        <v>0.79600000000000004</v>
      </c>
      <c r="G148" s="15">
        <v>0.76700000000000002</v>
      </c>
      <c r="H148" s="36">
        <v>0.879</v>
      </c>
      <c r="I148" s="40">
        <f t="shared" si="19"/>
        <v>0</v>
      </c>
      <c r="J148" s="29">
        <v>100000</v>
      </c>
      <c r="K148" s="14">
        <v>100000</v>
      </c>
      <c r="L148" s="30">
        <v>100000</v>
      </c>
      <c r="M148" s="40">
        <f t="shared" si="20"/>
        <v>16.666666666666668</v>
      </c>
      <c r="N148" s="44">
        <f t="shared" si="21"/>
        <v>0.81400000000000006</v>
      </c>
      <c r="O148" s="49">
        <f t="shared" si="22"/>
        <v>6.666666666666643E-2</v>
      </c>
      <c r="P148" s="16">
        <f t="shared" si="23"/>
        <v>-0.13333333333333286</v>
      </c>
      <c r="Q148" s="50">
        <f t="shared" si="24"/>
        <v>6.666666666666643E-2</v>
      </c>
      <c r="R148" s="57">
        <f t="shared" si="25"/>
        <v>1.8000000000000016E-2</v>
      </c>
      <c r="S148" s="17">
        <f t="shared" si="18"/>
        <v>4.7000000000000042E-2</v>
      </c>
      <c r="T148" s="58">
        <f t="shared" si="26"/>
        <v>-6.4999999999999947E-2</v>
      </c>
    </row>
    <row r="149" spans="1:20">
      <c r="A149" s="25" t="s">
        <v>148</v>
      </c>
      <c r="B149" s="75">
        <v>43384.240115740744</v>
      </c>
      <c r="C149" s="29">
        <v>16.600000000000001</v>
      </c>
      <c r="D149" s="14">
        <v>16.8</v>
      </c>
      <c r="E149" s="30">
        <v>16.600000000000001</v>
      </c>
      <c r="F149" s="35">
        <v>0.79600000000000004</v>
      </c>
      <c r="G149" s="15">
        <v>0.76700000000000002</v>
      </c>
      <c r="H149" s="36">
        <v>0.878</v>
      </c>
      <c r="I149" s="40">
        <f t="shared" si="19"/>
        <v>0</v>
      </c>
      <c r="J149" s="29">
        <v>100000</v>
      </c>
      <c r="K149" s="14">
        <v>100000</v>
      </c>
      <c r="L149" s="30">
        <v>100000</v>
      </c>
      <c r="M149" s="40">
        <f t="shared" si="20"/>
        <v>16.666666666666668</v>
      </c>
      <c r="N149" s="44">
        <f t="shared" si="21"/>
        <v>0.81366666666666676</v>
      </c>
      <c r="O149" s="49">
        <f t="shared" si="22"/>
        <v>6.666666666666643E-2</v>
      </c>
      <c r="P149" s="16">
        <f t="shared" si="23"/>
        <v>-0.13333333333333286</v>
      </c>
      <c r="Q149" s="50">
        <f t="shared" si="24"/>
        <v>6.666666666666643E-2</v>
      </c>
      <c r="R149" s="57">
        <f t="shared" si="25"/>
        <v>1.7666666666666719E-2</v>
      </c>
      <c r="S149" s="17">
        <f t="shared" si="18"/>
        <v>4.6666666666666745E-2</v>
      </c>
      <c r="T149" s="58">
        <f t="shared" si="26"/>
        <v>-6.4333333333333242E-2</v>
      </c>
    </row>
    <row r="150" spans="1:20">
      <c r="A150" s="25" t="s">
        <v>149</v>
      </c>
      <c r="B150" s="75">
        <v>43384.249016203707</v>
      </c>
      <c r="C150" s="29">
        <v>16.600000000000001</v>
      </c>
      <c r="D150" s="14">
        <v>16.8</v>
      </c>
      <c r="E150" s="30">
        <v>16.600000000000001</v>
      </c>
      <c r="F150" s="35">
        <v>0.79500000000000004</v>
      </c>
      <c r="G150" s="15">
        <v>0.76600000000000001</v>
      </c>
      <c r="H150" s="36">
        <v>0.876</v>
      </c>
      <c r="I150" s="40">
        <f t="shared" si="19"/>
        <v>0</v>
      </c>
      <c r="J150" s="29">
        <v>100000</v>
      </c>
      <c r="K150" s="14">
        <v>100000</v>
      </c>
      <c r="L150" s="30">
        <v>100000</v>
      </c>
      <c r="M150" s="40">
        <f t="shared" si="20"/>
        <v>16.666666666666668</v>
      </c>
      <c r="N150" s="44">
        <f t="shared" si="21"/>
        <v>0.81233333333333324</v>
      </c>
      <c r="O150" s="49">
        <f t="shared" si="22"/>
        <v>6.666666666666643E-2</v>
      </c>
      <c r="P150" s="16">
        <f t="shared" si="23"/>
        <v>-0.13333333333333286</v>
      </c>
      <c r="Q150" s="50">
        <f t="shared" si="24"/>
        <v>6.666666666666643E-2</v>
      </c>
      <c r="R150" s="57">
        <f t="shared" si="25"/>
        <v>1.7333333333333201E-2</v>
      </c>
      <c r="S150" s="17">
        <f t="shared" si="18"/>
        <v>4.6333333333333226E-2</v>
      </c>
      <c r="T150" s="58">
        <f t="shared" si="26"/>
        <v>-6.366666666666676E-2</v>
      </c>
    </row>
    <row r="151" spans="1:20">
      <c r="A151" s="25" t="s">
        <v>150</v>
      </c>
      <c r="B151" s="75">
        <v>43384.257916666669</v>
      </c>
      <c r="C151" s="29">
        <v>16.600000000000001</v>
      </c>
      <c r="D151" s="14">
        <v>16.8</v>
      </c>
      <c r="E151" s="30">
        <v>16.600000000000001</v>
      </c>
      <c r="F151" s="35">
        <v>0.79200000000000004</v>
      </c>
      <c r="G151" s="15">
        <v>0.76400000000000001</v>
      </c>
      <c r="H151" s="36">
        <v>0.874</v>
      </c>
      <c r="I151" s="40">
        <f t="shared" si="19"/>
        <v>0</v>
      </c>
      <c r="J151" s="29">
        <v>100000</v>
      </c>
      <c r="K151" s="14">
        <v>100000</v>
      </c>
      <c r="L151" s="30">
        <v>100000</v>
      </c>
      <c r="M151" s="40">
        <f t="shared" si="20"/>
        <v>16.666666666666668</v>
      </c>
      <c r="N151" s="44">
        <f t="shared" si="21"/>
        <v>0.81</v>
      </c>
      <c r="O151" s="49">
        <f t="shared" si="22"/>
        <v>6.666666666666643E-2</v>
      </c>
      <c r="P151" s="16">
        <f t="shared" si="23"/>
        <v>-0.13333333333333286</v>
      </c>
      <c r="Q151" s="50">
        <f t="shared" si="24"/>
        <v>6.666666666666643E-2</v>
      </c>
      <c r="R151" s="57">
        <f t="shared" si="25"/>
        <v>1.8000000000000016E-2</v>
      </c>
      <c r="S151" s="17">
        <f t="shared" si="18"/>
        <v>4.6000000000000041E-2</v>
      </c>
      <c r="T151" s="58">
        <f t="shared" si="26"/>
        <v>-6.3999999999999946E-2</v>
      </c>
    </row>
    <row r="152" spans="1:20">
      <c r="A152" s="25" t="s">
        <v>151</v>
      </c>
      <c r="B152" s="75">
        <v>43384.266886574071</v>
      </c>
      <c r="C152" s="29">
        <v>16.7</v>
      </c>
      <c r="D152" s="14">
        <v>16.8</v>
      </c>
      <c r="E152" s="30">
        <v>16.7</v>
      </c>
      <c r="F152" s="35">
        <v>0.79300000000000004</v>
      </c>
      <c r="G152" s="15">
        <v>0.76400000000000001</v>
      </c>
      <c r="H152" s="36">
        <v>0.874</v>
      </c>
      <c r="I152" s="40">
        <f t="shared" si="19"/>
        <v>0</v>
      </c>
      <c r="J152" s="29">
        <v>100000</v>
      </c>
      <c r="K152" s="14">
        <v>100000</v>
      </c>
      <c r="L152" s="30">
        <v>100000</v>
      </c>
      <c r="M152" s="40">
        <f t="shared" si="20"/>
        <v>16.733333333333334</v>
      </c>
      <c r="N152" s="44">
        <f t="shared" si="21"/>
        <v>0.81033333333333335</v>
      </c>
      <c r="O152" s="49">
        <f t="shared" si="22"/>
        <v>3.3333333333334991E-2</v>
      </c>
      <c r="P152" s="16">
        <f t="shared" si="23"/>
        <v>-6.666666666666643E-2</v>
      </c>
      <c r="Q152" s="50">
        <f t="shared" si="24"/>
        <v>3.3333333333334991E-2</v>
      </c>
      <c r="R152" s="57">
        <f t="shared" si="25"/>
        <v>1.7333333333333312E-2</v>
      </c>
      <c r="S152" s="17">
        <f t="shared" si="18"/>
        <v>4.6333333333333337E-2</v>
      </c>
      <c r="T152" s="58">
        <f t="shared" si="26"/>
        <v>-6.3666666666666649E-2</v>
      </c>
    </row>
    <row r="153" spans="1:20">
      <c r="A153" s="25" t="s">
        <v>152</v>
      </c>
      <c r="B153" s="75">
        <v>43384.275821759256</v>
      </c>
      <c r="C153" s="29">
        <v>16.7</v>
      </c>
      <c r="D153" s="14">
        <v>16.8</v>
      </c>
      <c r="E153" s="30">
        <v>16.7</v>
      </c>
      <c r="F153" s="35">
        <v>0.79200000000000004</v>
      </c>
      <c r="G153" s="15">
        <v>0.76400000000000001</v>
      </c>
      <c r="H153" s="36">
        <v>0.875</v>
      </c>
      <c r="I153" s="40">
        <f t="shared" si="19"/>
        <v>0</v>
      </c>
      <c r="J153" s="29">
        <v>100000</v>
      </c>
      <c r="K153" s="14">
        <v>100000</v>
      </c>
      <c r="L153" s="30">
        <v>100000</v>
      </c>
      <c r="M153" s="40">
        <f t="shared" si="20"/>
        <v>16.733333333333334</v>
      </c>
      <c r="N153" s="44">
        <f t="shared" si="21"/>
        <v>0.81033333333333335</v>
      </c>
      <c r="O153" s="49">
        <f t="shared" si="22"/>
        <v>3.3333333333334991E-2</v>
      </c>
      <c r="P153" s="16">
        <f t="shared" si="23"/>
        <v>-6.666666666666643E-2</v>
      </c>
      <c r="Q153" s="50">
        <f t="shared" si="24"/>
        <v>3.3333333333334991E-2</v>
      </c>
      <c r="R153" s="57">
        <f t="shared" si="25"/>
        <v>1.8333333333333313E-2</v>
      </c>
      <c r="S153" s="17">
        <f t="shared" si="18"/>
        <v>4.6333333333333337E-2</v>
      </c>
      <c r="T153" s="58">
        <f t="shared" si="26"/>
        <v>-6.466666666666665E-2</v>
      </c>
    </row>
    <row r="154" spans="1:20">
      <c r="A154" s="25" t="s">
        <v>153</v>
      </c>
      <c r="B154" s="75">
        <v>43384.284722222219</v>
      </c>
      <c r="C154" s="29">
        <v>16.8</v>
      </c>
      <c r="D154" s="14">
        <v>17</v>
      </c>
      <c r="E154" s="30">
        <v>16.8</v>
      </c>
      <c r="F154" s="35">
        <v>0.79400000000000004</v>
      </c>
      <c r="G154" s="15">
        <v>0.76700000000000002</v>
      </c>
      <c r="H154" s="36">
        <v>0.873</v>
      </c>
      <c r="I154" s="40">
        <f t="shared" si="19"/>
        <v>0</v>
      </c>
      <c r="J154" s="29">
        <v>100000</v>
      </c>
      <c r="K154" s="14">
        <v>100000</v>
      </c>
      <c r="L154" s="30">
        <v>100000</v>
      </c>
      <c r="M154" s="40">
        <f t="shared" si="20"/>
        <v>16.866666666666664</v>
      </c>
      <c r="N154" s="44">
        <f t="shared" si="21"/>
        <v>0.81133333333333335</v>
      </c>
      <c r="O154" s="49">
        <f t="shared" si="22"/>
        <v>6.6666666666662877E-2</v>
      </c>
      <c r="P154" s="16">
        <f t="shared" si="23"/>
        <v>-0.13333333333333641</v>
      </c>
      <c r="Q154" s="50">
        <f t="shared" si="24"/>
        <v>6.6666666666662877E-2</v>
      </c>
      <c r="R154" s="57">
        <f t="shared" si="25"/>
        <v>1.7333333333333312E-2</v>
      </c>
      <c r="S154" s="17">
        <f t="shared" si="18"/>
        <v>4.4333333333333336E-2</v>
      </c>
      <c r="T154" s="58">
        <f t="shared" si="26"/>
        <v>-6.1666666666666647E-2</v>
      </c>
    </row>
    <row r="155" spans="1:20">
      <c r="A155" s="25" t="s">
        <v>154</v>
      </c>
      <c r="B155" s="75">
        <v>43384.293622685182</v>
      </c>
      <c r="C155" s="29">
        <v>16.8</v>
      </c>
      <c r="D155" s="14">
        <v>17</v>
      </c>
      <c r="E155" s="30">
        <v>16.8</v>
      </c>
      <c r="F155" s="35">
        <v>0.79300000000000004</v>
      </c>
      <c r="G155" s="15">
        <v>0.76800000000000002</v>
      </c>
      <c r="H155" s="36">
        <v>0.873</v>
      </c>
      <c r="I155" s="40">
        <f t="shared" si="19"/>
        <v>0</v>
      </c>
      <c r="J155" s="29">
        <v>100000</v>
      </c>
      <c r="K155" s="14">
        <v>100000</v>
      </c>
      <c r="L155" s="30">
        <v>100000</v>
      </c>
      <c r="M155" s="40">
        <f t="shared" si="20"/>
        <v>16.866666666666664</v>
      </c>
      <c r="N155" s="44">
        <f t="shared" si="21"/>
        <v>0.81133333333333335</v>
      </c>
      <c r="O155" s="49">
        <f t="shared" si="22"/>
        <v>6.6666666666662877E-2</v>
      </c>
      <c r="P155" s="16">
        <f t="shared" si="23"/>
        <v>-0.13333333333333641</v>
      </c>
      <c r="Q155" s="50">
        <f t="shared" si="24"/>
        <v>6.6666666666662877E-2</v>
      </c>
      <c r="R155" s="57">
        <f t="shared" si="25"/>
        <v>1.8333333333333313E-2</v>
      </c>
      <c r="S155" s="17">
        <f t="shared" si="18"/>
        <v>4.3333333333333335E-2</v>
      </c>
      <c r="T155" s="58">
        <f t="shared" si="26"/>
        <v>-6.1666666666666647E-2</v>
      </c>
    </row>
    <row r="156" spans="1:20">
      <c r="A156" s="25" t="s">
        <v>155</v>
      </c>
      <c r="B156" s="75">
        <v>43384.302523148152</v>
      </c>
      <c r="C156" s="29">
        <v>16.8</v>
      </c>
      <c r="D156" s="14">
        <v>16.899999999999999</v>
      </c>
      <c r="E156" s="30">
        <v>16.8</v>
      </c>
      <c r="F156" s="35">
        <v>0.79200000000000004</v>
      </c>
      <c r="G156" s="15">
        <v>0.76800000000000002</v>
      </c>
      <c r="H156" s="36">
        <v>0.873</v>
      </c>
      <c r="I156" s="40">
        <f t="shared" si="19"/>
        <v>2.1130595795664897E-2</v>
      </c>
      <c r="J156" s="29">
        <v>93792</v>
      </c>
      <c r="K156" s="14">
        <v>100000</v>
      </c>
      <c r="L156" s="30">
        <v>100000</v>
      </c>
      <c r="M156" s="40">
        <f t="shared" si="20"/>
        <v>16.833333333333332</v>
      </c>
      <c r="N156" s="44">
        <f t="shared" si="21"/>
        <v>0.81099999999999994</v>
      </c>
      <c r="O156" s="49">
        <f t="shared" si="22"/>
        <v>3.3333333333331439E-2</v>
      </c>
      <c r="P156" s="16">
        <f t="shared" si="23"/>
        <v>-6.666666666666643E-2</v>
      </c>
      <c r="Q156" s="50">
        <f t="shared" si="24"/>
        <v>3.3333333333331439E-2</v>
      </c>
      <c r="R156" s="57">
        <f t="shared" si="25"/>
        <v>1.8999999999999906E-2</v>
      </c>
      <c r="S156" s="17">
        <f t="shared" si="18"/>
        <v>4.2999999999999927E-2</v>
      </c>
      <c r="T156" s="58">
        <f t="shared" si="26"/>
        <v>-6.2000000000000055E-2</v>
      </c>
    </row>
    <row r="157" spans="1:20">
      <c r="A157" s="25" t="s">
        <v>156</v>
      </c>
      <c r="B157" s="75">
        <v>43384.311423611114</v>
      </c>
      <c r="C157" s="29">
        <v>17.100000000000001</v>
      </c>
      <c r="D157" s="14">
        <v>17.3</v>
      </c>
      <c r="E157" s="30">
        <v>17.100000000000001</v>
      </c>
      <c r="F157" s="35">
        <v>0.77600000000000002</v>
      </c>
      <c r="G157" s="15">
        <v>0.754</v>
      </c>
      <c r="H157" s="36">
        <v>0.84899999999999998</v>
      </c>
      <c r="I157" s="40">
        <f t="shared" si="19"/>
        <v>0.20089346473776493</v>
      </c>
      <c r="J157" s="29">
        <v>49814</v>
      </c>
      <c r="K157" s="14">
        <v>100000</v>
      </c>
      <c r="L157" s="30">
        <v>100000</v>
      </c>
      <c r="M157" s="40">
        <f t="shared" si="20"/>
        <v>17.166666666666668</v>
      </c>
      <c r="N157" s="44">
        <f t="shared" si="21"/>
        <v>0.79300000000000004</v>
      </c>
      <c r="O157" s="49">
        <f t="shared" si="22"/>
        <v>6.666666666666643E-2</v>
      </c>
      <c r="P157" s="16">
        <f t="shared" si="23"/>
        <v>-0.13333333333333286</v>
      </c>
      <c r="Q157" s="50">
        <f t="shared" si="24"/>
        <v>6.666666666666643E-2</v>
      </c>
      <c r="R157" s="57">
        <f t="shared" si="25"/>
        <v>1.7000000000000015E-2</v>
      </c>
      <c r="S157" s="17">
        <f t="shared" si="18"/>
        <v>3.9000000000000035E-2</v>
      </c>
      <c r="T157" s="58">
        <f t="shared" si="26"/>
        <v>-5.5999999999999939E-2</v>
      </c>
    </row>
    <row r="158" spans="1:20">
      <c r="A158" s="25" t="s">
        <v>157</v>
      </c>
      <c r="B158" s="75">
        <v>43384.3203125</v>
      </c>
      <c r="C158" s="29">
        <v>17</v>
      </c>
      <c r="D158" s="14">
        <v>17.2</v>
      </c>
      <c r="E158" s="30">
        <v>17.100000000000001</v>
      </c>
      <c r="F158" s="35">
        <v>0.79500000000000004</v>
      </c>
      <c r="G158" s="15">
        <v>0.77</v>
      </c>
      <c r="H158" s="36">
        <v>0.877</v>
      </c>
      <c r="I158" s="40">
        <f t="shared" si="19"/>
        <v>0.2457281904137063</v>
      </c>
      <c r="J158" s="29">
        <v>40823</v>
      </c>
      <c r="K158" s="14">
        <v>100000</v>
      </c>
      <c r="L158" s="30">
        <v>100000</v>
      </c>
      <c r="M158" s="40">
        <f t="shared" si="20"/>
        <v>17.100000000000001</v>
      </c>
      <c r="N158" s="44">
        <f t="shared" si="21"/>
        <v>0.81400000000000006</v>
      </c>
      <c r="O158" s="49">
        <f t="shared" si="22"/>
        <v>0.10000000000000142</v>
      </c>
      <c r="P158" s="16">
        <f t="shared" si="23"/>
        <v>-9.9999999999997868E-2</v>
      </c>
      <c r="Q158" s="50">
        <f t="shared" si="24"/>
        <v>0</v>
      </c>
      <c r="R158" s="57">
        <f t="shared" si="25"/>
        <v>1.9000000000000017E-2</v>
      </c>
      <c r="S158" s="17">
        <f t="shared" si="18"/>
        <v>4.4000000000000039E-2</v>
      </c>
      <c r="T158" s="58">
        <f t="shared" si="26"/>
        <v>-6.2999999999999945E-2</v>
      </c>
    </row>
    <row r="159" spans="1:20">
      <c r="A159" s="25" t="s">
        <v>158</v>
      </c>
      <c r="B159" s="75">
        <v>43384.329201388886</v>
      </c>
      <c r="C159" s="29">
        <v>17</v>
      </c>
      <c r="D159" s="14">
        <v>17</v>
      </c>
      <c r="E159" s="30">
        <v>16.899999999999999</v>
      </c>
      <c r="F159" s="35">
        <v>0.82299999999999995</v>
      </c>
      <c r="G159" s="15">
        <v>0.79300000000000004</v>
      </c>
      <c r="H159" s="36">
        <v>0.90400000000000003</v>
      </c>
      <c r="I159" s="40">
        <f t="shared" si="19"/>
        <v>0.45700381735000151</v>
      </c>
      <c r="J159" s="29">
        <v>21960</v>
      </c>
      <c r="K159" s="14">
        <v>91971</v>
      </c>
      <c r="L159" s="30">
        <v>91971</v>
      </c>
      <c r="M159" s="40">
        <f t="shared" si="20"/>
        <v>16.966666666666665</v>
      </c>
      <c r="N159" s="44">
        <f t="shared" si="21"/>
        <v>0.84</v>
      </c>
      <c r="O159" s="49">
        <f t="shared" si="22"/>
        <v>-3.3333333333334991E-2</v>
      </c>
      <c r="P159" s="16">
        <f t="shared" si="23"/>
        <v>-3.3333333333334991E-2</v>
      </c>
      <c r="Q159" s="50">
        <f t="shared" si="24"/>
        <v>6.666666666666643E-2</v>
      </c>
      <c r="R159" s="57">
        <f t="shared" si="25"/>
        <v>1.7000000000000015E-2</v>
      </c>
      <c r="S159" s="17">
        <f t="shared" si="18"/>
        <v>4.6999999999999931E-2</v>
      </c>
      <c r="T159" s="58">
        <f t="shared" si="26"/>
        <v>-6.4000000000000057E-2</v>
      </c>
    </row>
    <row r="160" spans="1:20">
      <c r="A160" s="25" t="s">
        <v>159</v>
      </c>
      <c r="B160" s="75">
        <v>43384.338125000002</v>
      </c>
      <c r="C160" s="29">
        <v>17.100000000000001</v>
      </c>
      <c r="D160" s="14">
        <v>17.100000000000001</v>
      </c>
      <c r="E160" s="30">
        <v>17</v>
      </c>
      <c r="F160" s="35">
        <v>0.82699999999999996</v>
      </c>
      <c r="G160" s="15">
        <v>0.79700000000000004</v>
      </c>
      <c r="H160" s="36">
        <v>0.90600000000000003</v>
      </c>
      <c r="I160" s="40">
        <f t="shared" si="19"/>
        <v>1.014978003156799</v>
      </c>
      <c r="J160" s="29">
        <v>17165</v>
      </c>
      <c r="K160" s="14">
        <v>65860</v>
      </c>
      <c r="L160" s="30">
        <v>65860</v>
      </c>
      <c r="M160" s="40">
        <f t="shared" si="20"/>
        <v>17.066666666666666</v>
      </c>
      <c r="N160" s="44">
        <f t="shared" si="21"/>
        <v>0.84333333333333338</v>
      </c>
      <c r="O160" s="49">
        <f t="shared" si="22"/>
        <v>-3.3333333333334991E-2</v>
      </c>
      <c r="P160" s="16">
        <f t="shared" si="23"/>
        <v>-3.3333333333334991E-2</v>
      </c>
      <c r="Q160" s="50">
        <f t="shared" si="24"/>
        <v>6.666666666666643E-2</v>
      </c>
      <c r="R160" s="57">
        <f t="shared" si="25"/>
        <v>1.6333333333333422E-2</v>
      </c>
      <c r="S160" s="17">
        <f t="shared" si="18"/>
        <v>4.6333333333333337E-2</v>
      </c>
      <c r="T160" s="58">
        <f t="shared" si="26"/>
        <v>-6.2666666666666648E-2</v>
      </c>
    </row>
    <row r="161" spans="1:20">
      <c r="A161" s="25" t="s">
        <v>160</v>
      </c>
      <c r="B161" s="75">
        <v>43384.347002314818</v>
      </c>
      <c r="C161" s="29">
        <v>16.899999999999999</v>
      </c>
      <c r="D161" s="14">
        <v>17</v>
      </c>
      <c r="E161" s="30">
        <v>16.899999999999999</v>
      </c>
      <c r="F161" s="35">
        <v>0.80300000000000005</v>
      </c>
      <c r="G161" s="15">
        <v>0.77900000000000003</v>
      </c>
      <c r="H161" s="36">
        <v>0.88700000000000001</v>
      </c>
      <c r="I161" s="40">
        <f t="shared" si="19"/>
        <v>1.7650024424188238</v>
      </c>
      <c r="J161" s="29">
        <v>11869</v>
      </c>
      <c r="K161" s="14">
        <v>48315</v>
      </c>
      <c r="L161" s="30">
        <v>48315</v>
      </c>
      <c r="M161" s="40">
        <f t="shared" si="20"/>
        <v>16.933333333333334</v>
      </c>
      <c r="N161" s="44">
        <f t="shared" si="21"/>
        <v>0.82300000000000006</v>
      </c>
      <c r="O161" s="49">
        <f t="shared" si="22"/>
        <v>3.3333333333334991E-2</v>
      </c>
      <c r="P161" s="16">
        <f t="shared" si="23"/>
        <v>-6.666666666666643E-2</v>
      </c>
      <c r="Q161" s="50">
        <f t="shared" si="24"/>
        <v>3.3333333333334991E-2</v>
      </c>
      <c r="R161" s="57">
        <f t="shared" si="25"/>
        <v>2.0000000000000018E-2</v>
      </c>
      <c r="S161" s="17">
        <f t="shared" si="18"/>
        <v>4.4000000000000039E-2</v>
      </c>
      <c r="T161" s="58">
        <f t="shared" si="26"/>
        <v>-6.3999999999999946E-2</v>
      </c>
    </row>
    <row r="162" spans="1:20">
      <c r="A162" s="25" t="s">
        <v>161</v>
      </c>
      <c r="B162" s="75">
        <v>43384.355891203704</v>
      </c>
      <c r="C162" s="29">
        <v>16.899999999999999</v>
      </c>
      <c r="D162" s="14">
        <v>16.899999999999999</v>
      </c>
      <c r="E162" s="30">
        <v>16.8</v>
      </c>
      <c r="F162" s="35">
        <v>0.78900000000000003</v>
      </c>
      <c r="G162" s="15">
        <v>0.76900000000000002</v>
      </c>
      <c r="H162" s="36">
        <v>0.872</v>
      </c>
      <c r="I162" s="40">
        <f t="shared" si="19"/>
        <v>3.8231511254019299</v>
      </c>
      <c r="J162" s="29">
        <v>9754</v>
      </c>
      <c r="K162" s="14">
        <v>26223</v>
      </c>
      <c r="L162" s="30">
        <v>26223</v>
      </c>
      <c r="M162" s="40">
        <f t="shared" si="20"/>
        <v>16.866666666666664</v>
      </c>
      <c r="N162" s="44">
        <f t="shared" si="21"/>
        <v>0.81</v>
      </c>
      <c r="O162" s="49">
        <f t="shared" si="22"/>
        <v>-3.3333333333334991E-2</v>
      </c>
      <c r="P162" s="16">
        <f t="shared" si="23"/>
        <v>-3.3333333333334991E-2</v>
      </c>
      <c r="Q162" s="50">
        <f t="shared" si="24"/>
        <v>6.6666666666662877E-2</v>
      </c>
      <c r="R162" s="57">
        <f t="shared" si="25"/>
        <v>2.1000000000000019E-2</v>
      </c>
      <c r="S162" s="17">
        <f t="shared" si="18"/>
        <v>4.1000000000000036E-2</v>
      </c>
      <c r="T162" s="58">
        <f t="shared" si="26"/>
        <v>-6.1999999999999944E-2</v>
      </c>
    </row>
    <row r="163" spans="1:20">
      <c r="A163" s="25" t="s">
        <v>162</v>
      </c>
      <c r="B163" s="75">
        <v>43384.364768518521</v>
      </c>
      <c r="C163" s="29">
        <v>16.8</v>
      </c>
      <c r="D163" s="14">
        <v>16.899999999999999</v>
      </c>
      <c r="E163" s="30">
        <v>16.7</v>
      </c>
      <c r="F163" s="35">
        <v>0.78400000000000003</v>
      </c>
      <c r="G163" s="15">
        <v>0.76500000000000001</v>
      </c>
      <c r="H163" s="36">
        <v>0.86599999999999999</v>
      </c>
      <c r="I163" s="40">
        <f t="shared" si="19"/>
        <v>4.7850283466388985</v>
      </c>
      <c r="J163" s="29">
        <v>8030</v>
      </c>
      <c r="K163" s="14">
        <v>21914</v>
      </c>
      <c r="L163" s="30">
        <v>21914</v>
      </c>
      <c r="M163" s="40">
        <f t="shared" si="20"/>
        <v>16.8</v>
      </c>
      <c r="N163" s="44">
        <f t="shared" si="21"/>
        <v>0.80500000000000005</v>
      </c>
      <c r="O163" s="49">
        <f t="shared" si="22"/>
        <v>0</v>
      </c>
      <c r="P163" s="16">
        <f t="shared" si="23"/>
        <v>-9.9999999999997868E-2</v>
      </c>
      <c r="Q163" s="50">
        <f t="shared" si="24"/>
        <v>0.10000000000000142</v>
      </c>
      <c r="R163" s="57">
        <f t="shared" si="25"/>
        <v>2.1000000000000019E-2</v>
      </c>
      <c r="S163" s="17">
        <f t="shared" si="18"/>
        <v>4.0000000000000036E-2</v>
      </c>
      <c r="T163" s="58">
        <f t="shared" si="26"/>
        <v>-6.0999999999999943E-2</v>
      </c>
    </row>
    <row r="164" spans="1:20">
      <c r="A164" s="25" t="s">
        <v>163</v>
      </c>
      <c r="B164" s="75">
        <v>43384.373645833337</v>
      </c>
      <c r="C164" s="29">
        <v>16.8</v>
      </c>
      <c r="D164" s="14">
        <v>16.8</v>
      </c>
      <c r="E164" s="30">
        <v>16.7</v>
      </c>
      <c r="F164" s="35">
        <v>0.77500000000000002</v>
      </c>
      <c r="G164" s="15">
        <v>0.75800000000000001</v>
      </c>
      <c r="H164" s="36">
        <v>0.85599999999999998</v>
      </c>
      <c r="I164" s="40">
        <f t="shared" si="19"/>
        <v>6.6663600122661757</v>
      </c>
      <c r="J164" s="29">
        <v>6668</v>
      </c>
      <c r="K164" s="14">
        <v>16232</v>
      </c>
      <c r="L164" s="30">
        <v>16232</v>
      </c>
      <c r="M164" s="40">
        <f t="shared" si="20"/>
        <v>16.766666666666666</v>
      </c>
      <c r="N164" s="44">
        <f t="shared" si="21"/>
        <v>0.79633333333333323</v>
      </c>
      <c r="O164" s="49">
        <f t="shared" si="22"/>
        <v>-3.3333333333334991E-2</v>
      </c>
      <c r="P164" s="16">
        <f t="shared" si="23"/>
        <v>-3.3333333333334991E-2</v>
      </c>
      <c r="Q164" s="50">
        <f t="shared" si="24"/>
        <v>6.666666666666643E-2</v>
      </c>
      <c r="R164" s="57">
        <f t="shared" si="25"/>
        <v>2.1333333333333204E-2</v>
      </c>
      <c r="S164" s="17">
        <f t="shared" si="18"/>
        <v>3.8333333333333219E-2</v>
      </c>
      <c r="T164" s="58">
        <f t="shared" si="26"/>
        <v>-5.9666666666666757E-2</v>
      </c>
    </row>
    <row r="165" spans="1:20">
      <c r="A165" s="25" t="s">
        <v>164</v>
      </c>
      <c r="B165" s="75">
        <v>43384.382523148146</v>
      </c>
      <c r="C165" s="29">
        <v>16.8</v>
      </c>
      <c r="D165" s="14">
        <v>16.8</v>
      </c>
      <c r="E165" s="30">
        <v>16.7</v>
      </c>
      <c r="F165" s="35">
        <v>0.76800000000000002</v>
      </c>
      <c r="G165" s="15">
        <v>0.753</v>
      </c>
      <c r="H165" s="36">
        <v>0.84899999999999998</v>
      </c>
      <c r="I165" s="40">
        <f t="shared" si="19"/>
        <v>7.9979304759905219</v>
      </c>
      <c r="J165" s="29">
        <v>5795</v>
      </c>
      <c r="K165" s="14">
        <v>13773</v>
      </c>
      <c r="L165" s="30">
        <v>13773</v>
      </c>
      <c r="M165" s="40">
        <f t="shared" si="20"/>
        <v>16.766666666666666</v>
      </c>
      <c r="N165" s="44">
        <f t="shared" si="21"/>
        <v>0.79</v>
      </c>
      <c r="O165" s="49">
        <f t="shared" si="22"/>
        <v>-3.3333333333334991E-2</v>
      </c>
      <c r="P165" s="16">
        <f t="shared" si="23"/>
        <v>-3.3333333333334991E-2</v>
      </c>
      <c r="Q165" s="50">
        <f t="shared" si="24"/>
        <v>6.666666666666643E-2</v>
      </c>
      <c r="R165" s="57">
        <f t="shared" si="25"/>
        <v>2.200000000000002E-2</v>
      </c>
      <c r="S165" s="17">
        <f t="shared" si="18"/>
        <v>3.7000000000000033E-2</v>
      </c>
      <c r="T165" s="58">
        <f t="shared" si="26"/>
        <v>-5.8999999999999941E-2</v>
      </c>
    </row>
    <row r="166" spans="1:20">
      <c r="A166" s="25" t="s">
        <v>165</v>
      </c>
      <c r="B166" s="75">
        <v>43384.391400462962</v>
      </c>
      <c r="C166" s="29">
        <v>16.7</v>
      </c>
      <c r="D166" s="14">
        <v>16.8</v>
      </c>
      <c r="E166" s="30">
        <v>16.7</v>
      </c>
      <c r="F166" s="35">
        <v>0.76200000000000001</v>
      </c>
      <c r="G166" s="15">
        <v>0.75</v>
      </c>
      <c r="H166" s="36">
        <v>0.84099999999999997</v>
      </c>
      <c r="I166" s="40">
        <f t="shared" si="19"/>
        <v>9.1276078590236978</v>
      </c>
      <c r="J166" s="29">
        <v>5252</v>
      </c>
      <c r="K166" s="14">
        <v>12185</v>
      </c>
      <c r="L166" s="30">
        <v>12185</v>
      </c>
      <c r="M166" s="40">
        <f t="shared" si="20"/>
        <v>16.733333333333334</v>
      </c>
      <c r="N166" s="44">
        <f t="shared" si="21"/>
        <v>0.78433333333333322</v>
      </c>
      <c r="O166" s="49">
        <f t="shared" si="22"/>
        <v>3.3333333333334991E-2</v>
      </c>
      <c r="P166" s="16">
        <f t="shared" si="23"/>
        <v>-6.666666666666643E-2</v>
      </c>
      <c r="Q166" s="50">
        <f t="shared" si="24"/>
        <v>3.3333333333334991E-2</v>
      </c>
      <c r="R166" s="57">
        <f t="shared" si="25"/>
        <v>2.2333333333333205E-2</v>
      </c>
      <c r="S166" s="17">
        <f t="shared" si="18"/>
        <v>3.4333333333333216E-2</v>
      </c>
      <c r="T166" s="58">
        <f t="shared" si="26"/>
        <v>-5.6666666666666754E-2</v>
      </c>
    </row>
    <row r="167" spans="1:20">
      <c r="A167" s="25" t="s">
        <v>166</v>
      </c>
      <c r="B167" s="75">
        <v>43384.400277777779</v>
      </c>
      <c r="C167" s="29">
        <v>16.7</v>
      </c>
      <c r="D167" s="14">
        <v>16.7</v>
      </c>
      <c r="E167" s="30">
        <v>16.600000000000001</v>
      </c>
      <c r="F167" s="35">
        <v>0.755</v>
      </c>
      <c r="G167" s="15">
        <v>0.74399999999999999</v>
      </c>
      <c r="H167" s="36">
        <v>0.83199999999999996</v>
      </c>
      <c r="I167" s="40">
        <f t="shared" si="19"/>
        <v>9.9457092819614719</v>
      </c>
      <c r="J167" s="29">
        <v>4860</v>
      </c>
      <c r="K167" s="14">
        <v>11274</v>
      </c>
      <c r="L167" s="30">
        <v>11274</v>
      </c>
      <c r="M167" s="40">
        <f t="shared" si="20"/>
        <v>16.666666666666668</v>
      </c>
      <c r="N167" s="44">
        <f t="shared" si="21"/>
        <v>0.77700000000000002</v>
      </c>
      <c r="O167" s="49">
        <f t="shared" si="22"/>
        <v>-3.3333333333331439E-2</v>
      </c>
      <c r="P167" s="16">
        <f t="shared" si="23"/>
        <v>-3.3333333333331439E-2</v>
      </c>
      <c r="Q167" s="50">
        <f t="shared" si="24"/>
        <v>6.666666666666643E-2</v>
      </c>
      <c r="R167" s="57">
        <f t="shared" si="25"/>
        <v>2.200000000000002E-2</v>
      </c>
      <c r="S167" s="17">
        <f t="shared" si="18"/>
        <v>3.3000000000000029E-2</v>
      </c>
      <c r="T167" s="58">
        <f t="shared" si="26"/>
        <v>-5.4999999999999938E-2</v>
      </c>
    </row>
    <row r="168" spans="1:20">
      <c r="A168" s="25" t="s">
        <v>167</v>
      </c>
      <c r="B168" s="75">
        <v>43384.409155092595</v>
      </c>
      <c r="C168" s="29">
        <v>16.7</v>
      </c>
      <c r="D168" s="14">
        <v>16.7</v>
      </c>
      <c r="E168" s="30">
        <v>16.600000000000001</v>
      </c>
      <c r="F168" s="35">
        <v>0.749</v>
      </c>
      <c r="G168" s="15">
        <v>0.74</v>
      </c>
      <c r="H168" s="36">
        <v>0.82399999999999995</v>
      </c>
      <c r="I168" s="40">
        <f t="shared" si="19"/>
        <v>11.448649321548611</v>
      </c>
      <c r="J168" s="29">
        <v>4413</v>
      </c>
      <c r="K168" s="14">
        <v>9843</v>
      </c>
      <c r="L168" s="30">
        <v>9843</v>
      </c>
      <c r="M168" s="40">
        <f t="shared" si="20"/>
        <v>16.666666666666668</v>
      </c>
      <c r="N168" s="44">
        <f t="shared" si="21"/>
        <v>0.77099999999999991</v>
      </c>
      <c r="O168" s="49">
        <f t="shared" si="22"/>
        <v>-3.3333333333331439E-2</v>
      </c>
      <c r="P168" s="16">
        <f t="shared" si="23"/>
        <v>-3.3333333333331439E-2</v>
      </c>
      <c r="Q168" s="50">
        <f t="shared" si="24"/>
        <v>6.666666666666643E-2</v>
      </c>
      <c r="R168" s="57">
        <f t="shared" si="25"/>
        <v>2.1999999999999909E-2</v>
      </c>
      <c r="S168" s="17">
        <f t="shared" si="18"/>
        <v>3.0999999999999917E-2</v>
      </c>
      <c r="T168" s="58">
        <f t="shared" si="26"/>
        <v>-5.3000000000000047E-2</v>
      </c>
    </row>
    <row r="169" spans="1:20">
      <c r="A169" s="25" t="s">
        <v>168</v>
      </c>
      <c r="B169" s="75">
        <v>43384.418032407404</v>
      </c>
      <c r="C169" s="29">
        <v>16.7</v>
      </c>
      <c r="D169" s="14">
        <v>16.8</v>
      </c>
      <c r="E169" s="30">
        <v>16.600000000000001</v>
      </c>
      <c r="F169" s="35">
        <v>0.74199999999999999</v>
      </c>
      <c r="G169" s="15">
        <v>0.73499999999999999</v>
      </c>
      <c r="H169" s="36">
        <v>0.81499999999999995</v>
      </c>
      <c r="I169" s="40">
        <f t="shared" si="19"/>
        <v>12.686131386861314</v>
      </c>
      <c r="J169" s="29">
        <v>4060</v>
      </c>
      <c r="K169" s="14">
        <v>8930</v>
      </c>
      <c r="L169" s="30">
        <v>8930</v>
      </c>
      <c r="M169" s="40">
        <f t="shared" si="20"/>
        <v>16.7</v>
      </c>
      <c r="N169" s="44">
        <f t="shared" si="21"/>
        <v>0.7639999999999999</v>
      </c>
      <c r="O169" s="49">
        <f t="shared" si="22"/>
        <v>0</v>
      </c>
      <c r="P169" s="16">
        <f t="shared" si="23"/>
        <v>-0.10000000000000142</v>
      </c>
      <c r="Q169" s="50">
        <f t="shared" si="24"/>
        <v>9.9999999999997868E-2</v>
      </c>
      <c r="R169" s="57">
        <f t="shared" si="25"/>
        <v>2.1999999999999909E-2</v>
      </c>
      <c r="S169" s="17">
        <f t="shared" si="18"/>
        <v>2.8999999999999915E-2</v>
      </c>
      <c r="T169" s="58">
        <f t="shared" si="26"/>
        <v>-5.1000000000000045E-2</v>
      </c>
    </row>
    <row r="170" spans="1:20">
      <c r="A170" s="25" t="s">
        <v>169</v>
      </c>
      <c r="B170" s="75">
        <v>43384.426898148151</v>
      </c>
      <c r="C170" s="29">
        <v>16.7</v>
      </c>
      <c r="D170" s="14">
        <v>16.8</v>
      </c>
      <c r="E170" s="30">
        <v>16.600000000000001</v>
      </c>
      <c r="F170" s="35">
        <v>0.73499999999999999</v>
      </c>
      <c r="G170" s="15">
        <v>0.72899999999999998</v>
      </c>
      <c r="H170" s="36">
        <v>0.80700000000000005</v>
      </c>
      <c r="I170" s="40">
        <f t="shared" si="19"/>
        <v>14.043626516899009</v>
      </c>
      <c r="J170" s="29">
        <v>3714</v>
      </c>
      <c r="K170" s="14">
        <v>8114</v>
      </c>
      <c r="L170" s="30">
        <v>8114</v>
      </c>
      <c r="M170" s="40">
        <f t="shared" si="20"/>
        <v>16.7</v>
      </c>
      <c r="N170" s="44">
        <f t="shared" si="21"/>
        <v>0.75700000000000001</v>
      </c>
      <c r="O170" s="49">
        <f t="shared" si="22"/>
        <v>0</v>
      </c>
      <c r="P170" s="16">
        <f t="shared" si="23"/>
        <v>-0.10000000000000142</v>
      </c>
      <c r="Q170" s="50">
        <f t="shared" si="24"/>
        <v>9.9999999999997868E-2</v>
      </c>
      <c r="R170" s="57">
        <f t="shared" si="25"/>
        <v>2.200000000000002E-2</v>
      </c>
      <c r="S170" s="17">
        <f t="shared" si="18"/>
        <v>2.8000000000000025E-2</v>
      </c>
      <c r="T170" s="58">
        <f t="shared" si="26"/>
        <v>-5.0000000000000044E-2</v>
      </c>
    </row>
    <row r="171" spans="1:20">
      <c r="A171" s="25" t="s">
        <v>170</v>
      </c>
      <c r="B171" s="75">
        <v>43384.43577546296</v>
      </c>
      <c r="C171" s="29">
        <v>16.7</v>
      </c>
      <c r="D171" s="14">
        <v>16.7</v>
      </c>
      <c r="E171" s="30">
        <v>16.600000000000001</v>
      </c>
      <c r="F171" s="35">
        <v>0.72799999999999998</v>
      </c>
      <c r="G171" s="15">
        <v>0.72299999999999998</v>
      </c>
      <c r="H171" s="36">
        <v>0.79600000000000004</v>
      </c>
      <c r="I171" s="40">
        <f t="shared" si="19"/>
        <v>16.176228100309171</v>
      </c>
      <c r="J171" s="29">
        <v>3316</v>
      </c>
      <c r="K171" s="14">
        <v>7075</v>
      </c>
      <c r="L171" s="30">
        <v>7075</v>
      </c>
      <c r="M171" s="40">
        <f t="shared" si="20"/>
        <v>16.666666666666668</v>
      </c>
      <c r="N171" s="44">
        <f t="shared" si="21"/>
        <v>0.749</v>
      </c>
      <c r="O171" s="49">
        <f t="shared" si="22"/>
        <v>-3.3333333333331439E-2</v>
      </c>
      <c r="P171" s="16">
        <f t="shared" si="23"/>
        <v>-3.3333333333331439E-2</v>
      </c>
      <c r="Q171" s="50">
        <f t="shared" si="24"/>
        <v>6.666666666666643E-2</v>
      </c>
      <c r="R171" s="57">
        <f t="shared" si="25"/>
        <v>2.1000000000000019E-2</v>
      </c>
      <c r="S171" s="17">
        <f t="shared" si="18"/>
        <v>2.6000000000000023E-2</v>
      </c>
      <c r="T171" s="58">
        <f t="shared" si="26"/>
        <v>-4.7000000000000042E-2</v>
      </c>
    </row>
    <row r="172" spans="1:20">
      <c r="A172" s="25" t="s">
        <v>171</v>
      </c>
      <c r="B172" s="75">
        <v>43384.444652777776</v>
      </c>
      <c r="C172" s="29">
        <v>16.600000000000001</v>
      </c>
      <c r="D172" s="14">
        <v>16.7</v>
      </c>
      <c r="E172" s="30">
        <v>16.600000000000001</v>
      </c>
      <c r="F172" s="35">
        <v>0.71899999999999997</v>
      </c>
      <c r="G172" s="15">
        <v>0.71699999999999997</v>
      </c>
      <c r="H172" s="36">
        <v>0.78500000000000003</v>
      </c>
      <c r="I172" s="40">
        <f t="shared" si="19"/>
        <v>17.306077617769098</v>
      </c>
      <c r="J172" s="29">
        <v>3152</v>
      </c>
      <c r="K172" s="14">
        <v>6618</v>
      </c>
      <c r="L172" s="30">
        <v>6618</v>
      </c>
      <c r="M172" s="40">
        <f t="shared" si="20"/>
        <v>16.633333333333333</v>
      </c>
      <c r="N172" s="44">
        <f t="shared" si="21"/>
        <v>0.7403333333333334</v>
      </c>
      <c r="O172" s="49">
        <f t="shared" si="22"/>
        <v>3.3333333333331439E-2</v>
      </c>
      <c r="P172" s="16">
        <f t="shared" si="23"/>
        <v>-6.666666666666643E-2</v>
      </c>
      <c r="Q172" s="50">
        <f t="shared" si="24"/>
        <v>3.3333333333331439E-2</v>
      </c>
      <c r="R172" s="57">
        <f t="shared" si="25"/>
        <v>2.1333333333333426E-2</v>
      </c>
      <c r="S172" s="17">
        <f t="shared" si="18"/>
        <v>2.3333333333333428E-2</v>
      </c>
      <c r="T172" s="58">
        <f t="shared" si="26"/>
        <v>-4.4666666666666632E-2</v>
      </c>
    </row>
    <row r="173" spans="1:20">
      <c r="A173" s="25" t="s">
        <v>172</v>
      </c>
      <c r="B173" s="75">
        <v>43384.453530092593</v>
      </c>
      <c r="C173" s="29">
        <v>16.7</v>
      </c>
      <c r="D173" s="14">
        <v>16.7</v>
      </c>
      <c r="E173" s="30">
        <v>16.600000000000001</v>
      </c>
      <c r="F173" s="35">
        <v>0.70799999999999996</v>
      </c>
      <c r="G173" s="15">
        <v>0.70699999999999996</v>
      </c>
      <c r="H173" s="36">
        <v>0.76900000000000002</v>
      </c>
      <c r="I173" s="40">
        <f t="shared" si="19"/>
        <v>18.564366766662321</v>
      </c>
      <c r="J173" s="29">
        <v>2992</v>
      </c>
      <c r="K173" s="14">
        <v>6171</v>
      </c>
      <c r="L173" s="30">
        <v>6171</v>
      </c>
      <c r="M173" s="40">
        <f t="shared" si="20"/>
        <v>16.666666666666668</v>
      </c>
      <c r="N173" s="44">
        <f t="shared" si="21"/>
        <v>0.72800000000000009</v>
      </c>
      <c r="O173" s="49">
        <f t="shared" si="22"/>
        <v>-3.3333333333331439E-2</v>
      </c>
      <c r="P173" s="16">
        <f t="shared" si="23"/>
        <v>-3.3333333333331439E-2</v>
      </c>
      <c r="Q173" s="50">
        <f t="shared" si="24"/>
        <v>6.666666666666643E-2</v>
      </c>
      <c r="R173" s="57">
        <f t="shared" si="25"/>
        <v>2.0000000000000129E-2</v>
      </c>
      <c r="S173" s="17">
        <f t="shared" si="18"/>
        <v>2.100000000000013E-2</v>
      </c>
      <c r="T173" s="58">
        <f t="shared" si="26"/>
        <v>-4.0999999999999925E-2</v>
      </c>
    </row>
    <row r="174" spans="1:20">
      <c r="A174" s="25" t="s">
        <v>173</v>
      </c>
      <c r="B174" s="75">
        <v>43384.462407407409</v>
      </c>
      <c r="C174" s="29">
        <v>16.600000000000001</v>
      </c>
      <c r="D174" s="14">
        <v>16.7</v>
      </c>
      <c r="E174" s="30">
        <v>16.600000000000001</v>
      </c>
      <c r="F174" s="35">
        <v>0.69799999999999995</v>
      </c>
      <c r="G174" s="15">
        <v>0.69799999999999995</v>
      </c>
      <c r="H174" s="36">
        <v>0.755</v>
      </c>
      <c r="I174" s="40">
        <f t="shared" si="19"/>
        <v>20.751740139211137</v>
      </c>
      <c r="J174" s="29">
        <v>2710</v>
      </c>
      <c r="K174" s="14">
        <v>5541</v>
      </c>
      <c r="L174" s="30">
        <v>5541</v>
      </c>
      <c r="M174" s="40">
        <f t="shared" si="20"/>
        <v>16.633333333333333</v>
      </c>
      <c r="N174" s="44">
        <f t="shared" si="21"/>
        <v>0.71699999999999997</v>
      </c>
      <c r="O174" s="49">
        <f t="shared" si="22"/>
        <v>3.3333333333331439E-2</v>
      </c>
      <c r="P174" s="16">
        <f t="shared" si="23"/>
        <v>-6.666666666666643E-2</v>
      </c>
      <c r="Q174" s="50">
        <f t="shared" si="24"/>
        <v>3.3333333333331439E-2</v>
      </c>
      <c r="R174" s="57">
        <f t="shared" si="25"/>
        <v>1.9000000000000017E-2</v>
      </c>
      <c r="S174" s="17">
        <f t="shared" si="18"/>
        <v>1.9000000000000017E-2</v>
      </c>
      <c r="T174" s="58">
        <f t="shared" si="26"/>
        <v>-3.8000000000000034E-2</v>
      </c>
    </row>
    <row r="175" spans="1:20">
      <c r="A175" s="25" t="s">
        <v>174</v>
      </c>
      <c r="B175" s="75">
        <v>43384.471273148149</v>
      </c>
      <c r="C175" s="29">
        <v>16.600000000000001</v>
      </c>
      <c r="D175" s="14">
        <v>16.7</v>
      </c>
      <c r="E175" s="30">
        <v>16.600000000000001</v>
      </c>
      <c r="F175" s="35">
        <v>0.69099999999999995</v>
      </c>
      <c r="G175" s="15">
        <v>0.69199999999999995</v>
      </c>
      <c r="H175" s="36">
        <v>0.74299999999999999</v>
      </c>
      <c r="I175" s="40">
        <f t="shared" si="19"/>
        <v>22.094688221709006</v>
      </c>
      <c r="J175" s="29">
        <v>2570</v>
      </c>
      <c r="K175" s="14">
        <v>5210</v>
      </c>
      <c r="L175" s="30">
        <v>5210</v>
      </c>
      <c r="M175" s="40">
        <f t="shared" si="20"/>
        <v>16.633333333333333</v>
      </c>
      <c r="N175" s="44">
        <f t="shared" si="21"/>
        <v>0.70866666666666667</v>
      </c>
      <c r="O175" s="49">
        <f t="shared" si="22"/>
        <v>3.3333333333331439E-2</v>
      </c>
      <c r="P175" s="16">
        <f t="shared" si="23"/>
        <v>-6.666666666666643E-2</v>
      </c>
      <c r="Q175" s="50">
        <f t="shared" si="24"/>
        <v>3.3333333333331439E-2</v>
      </c>
      <c r="R175" s="57">
        <f t="shared" si="25"/>
        <v>1.7666666666666719E-2</v>
      </c>
      <c r="S175" s="17">
        <f t="shared" si="18"/>
        <v>1.6666666666666718E-2</v>
      </c>
      <c r="T175" s="58">
        <f t="shared" si="26"/>
        <v>-3.4333333333333327E-2</v>
      </c>
    </row>
    <row r="176" spans="1:20">
      <c r="A176" s="25" t="s">
        <v>175</v>
      </c>
      <c r="B176" s="75">
        <v>43384.480150462965</v>
      </c>
      <c r="C176" s="29">
        <v>16.600000000000001</v>
      </c>
      <c r="D176" s="14">
        <v>16.7</v>
      </c>
      <c r="E176" s="30">
        <v>16.600000000000001</v>
      </c>
      <c r="F176" s="35">
        <v>0.68600000000000005</v>
      </c>
      <c r="G176" s="15">
        <v>0.68799999999999994</v>
      </c>
      <c r="H176" s="36">
        <v>0.73699999999999999</v>
      </c>
      <c r="I176" s="40">
        <f t="shared" si="19"/>
        <v>23.131274131274132</v>
      </c>
      <c r="J176" s="29">
        <v>2472</v>
      </c>
      <c r="K176" s="14">
        <v>4980</v>
      </c>
      <c r="L176" s="30">
        <v>4980</v>
      </c>
      <c r="M176" s="40">
        <f t="shared" si="20"/>
        <v>16.633333333333333</v>
      </c>
      <c r="N176" s="44">
        <f t="shared" si="21"/>
        <v>0.70366666666666677</v>
      </c>
      <c r="O176" s="49">
        <f t="shared" si="22"/>
        <v>3.3333333333331439E-2</v>
      </c>
      <c r="P176" s="16">
        <f t="shared" si="23"/>
        <v>-6.666666666666643E-2</v>
      </c>
      <c r="Q176" s="50">
        <f t="shared" si="24"/>
        <v>3.3333333333331439E-2</v>
      </c>
      <c r="R176" s="57">
        <f t="shared" si="25"/>
        <v>1.7666666666666719E-2</v>
      </c>
      <c r="S176" s="17">
        <f t="shared" si="18"/>
        <v>1.5666666666666829E-2</v>
      </c>
      <c r="T176" s="58">
        <f t="shared" si="26"/>
        <v>-3.3333333333333215E-2</v>
      </c>
    </row>
    <row r="177" spans="1:20">
      <c r="A177" s="25" t="s">
        <v>176</v>
      </c>
      <c r="B177" s="75">
        <v>43384.489027777781</v>
      </c>
      <c r="C177" s="29">
        <v>16.600000000000001</v>
      </c>
      <c r="D177" s="14">
        <v>16.7</v>
      </c>
      <c r="E177" s="30">
        <v>16.600000000000001</v>
      </c>
      <c r="F177" s="35">
        <v>0.68400000000000005</v>
      </c>
      <c r="G177" s="15">
        <v>0.68600000000000005</v>
      </c>
      <c r="H177" s="36">
        <v>0.73399999999999999</v>
      </c>
      <c r="I177" s="40">
        <f t="shared" si="19"/>
        <v>24.606008876749744</v>
      </c>
      <c r="J177" s="29">
        <v>2350</v>
      </c>
      <c r="K177" s="14">
        <v>4683</v>
      </c>
      <c r="L177" s="30">
        <v>4683</v>
      </c>
      <c r="M177" s="40">
        <f t="shared" si="20"/>
        <v>16.633333333333333</v>
      </c>
      <c r="N177" s="44">
        <f t="shared" si="21"/>
        <v>0.70133333333333336</v>
      </c>
      <c r="O177" s="49">
        <f t="shared" si="22"/>
        <v>3.3333333333331439E-2</v>
      </c>
      <c r="P177" s="16">
        <f t="shared" si="23"/>
        <v>-6.666666666666643E-2</v>
      </c>
      <c r="Q177" s="50">
        <f t="shared" si="24"/>
        <v>3.3333333333331439E-2</v>
      </c>
      <c r="R177" s="57">
        <f t="shared" si="25"/>
        <v>1.7333333333333312E-2</v>
      </c>
      <c r="S177" s="17">
        <f t="shared" si="18"/>
        <v>1.533333333333331E-2</v>
      </c>
      <c r="T177" s="58">
        <f t="shared" si="26"/>
        <v>-3.2666666666666622E-2</v>
      </c>
    </row>
    <row r="178" spans="1:20">
      <c r="A178" s="25" t="s">
        <v>177</v>
      </c>
      <c r="B178" s="75">
        <v>43384.49790509259</v>
      </c>
      <c r="C178" s="29">
        <v>16.600000000000001</v>
      </c>
      <c r="D178" s="14">
        <v>16.7</v>
      </c>
      <c r="E178" s="30">
        <v>16.600000000000001</v>
      </c>
      <c r="F178" s="35">
        <v>0.68500000000000005</v>
      </c>
      <c r="G178" s="15">
        <v>0.68600000000000005</v>
      </c>
      <c r="H178" s="36">
        <v>0.73399999999999999</v>
      </c>
      <c r="I178" s="40">
        <f t="shared" si="19"/>
        <v>26.849981433345711</v>
      </c>
      <c r="J178" s="29">
        <v>2160</v>
      </c>
      <c r="K178" s="14">
        <v>4306</v>
      </c>
      <c r="L178" s="30">
        <v>4306</v>
      </c>
      <c r="M178" s="40">
        <f t="shared" si="20"/>
        <v>16.633333333333333</v>
      </c>
      <c r="N178" s="44">
        <f t="shared" si="21"/>
        <v>0.70166666666666666</v>
      </c>
      <c r="O178" s="49">
        <f t="shared" si="22"/>
        <v>3.3333333333331439E-2</v>
      </c>
      <c r="P178" s="16">
        <f t="shared" si="23"/>
        <v>-6.666666666666643E-2</v>
      </c>
      <c r="Q178" s="50">
        <f t="shared" si="24"/>
        <v>3.3333333333331439E-2</v>
      </c>
      <c r="R178" s="57">
        <f t="shared" si="25"/>
        <v>1.6666666666666607E-2</v>
      </c>
      <c r="S178" s="17">
        <f t="shared" si="18"/>
        <v>1.5666666666666607E-2</v>
      </c>
      <c r="T178" s="58">
        <f t="shared" si="26"/>
        <v>-3.2333333333333325E-2</v>
      </c>
    </row>
    <row r="179" spans="1:20">
      <c r="A179" s="25" t="s">
        <v>178</v>
      </c>
      <c r="B179" s="75">
        <v>43384.50677083333</v>
      </c>
      <c r="C179" s="29">
        <v>16.600000000000001</v>
      </c>
      <c r="D179" s="14">
        <v>16.7</v>
      </c>
      <c r="E179" s="30">
        <v>16.600000000000001</v>
      </c>
      <c r="F179" s="35">
        <v>0.67800000000000005</v>
      </c>
      <c r="G179" s="15">
        <v>0.68</v>
      </c>
      <c r="H179" s="36">
        <v>0.72399999999999998</v>
      </c>
      <c r="I179" s="40">
        <f t="shared" si="19"/>
        <v>28.913251570445709</v>
      </c>
      <c r="J179" s="29">
        <v>2047</v>
      </c>
      <c r="K179" s="14">
        <v>3991</v>
      </c>
      <c r="L179" s="30">
        <v>3991</v>
      </c>
      <c r="M179" s="40">
        <f t="shared" si="20"/>
        <v>16.633333333333333</v>
      </c>
      <c r="N179" s="44">
        <f t="shared" si="21"/>
        <v>0.69399999999999995</v>
      </c>
      <c r="O179" s="49">
        <f t="shared" si="22"/>
        <v>3.3333333333331439E-2</v>
      </c>
      <c r="P179" s="16">
        <f t="shared" si="23"/>
        <v>-6.666666666666643E-2</v>
      </c>
      <c r="Q179" s="50">
        <f t="shared" si="24"/>
        <v>3.3333333333331439E-2</v>
      </c>
      <c r="R179" s="57">
        <f t="shared" si="25"/>
        <v>1.5999999999999903E-2</v>
      </c>
      <c r="S179" s="17">
        <f t="shared" si="18"/>
        <v>1.3999999999999901E-2</v>
      </c>
      <c r="T179" s="58">
        <f t="shared" si="26"/>
        <v>-3.0000000000000027E-2</v>
      </c>
    </row>
    <row r="180" spans="1:20">
      <c r="A180" s="25" t="s">
        <v>179</v>
      </c>
      <c r="B180" s="75">
        <v>43384.515648148146</v>
      </c>
      <c r="C180" s="29">
        <v>16.600000000000001</v>
      </c>
      <c r="D180" s="14">
        <v>16.7</v>
      </c>
      <c r="E180" s="30">
        <v>16.600000000000001</v>
      </c>
      <c r="F180" s="35">
        <v>0.67600000000000005</v>
      </c>
      <c r="G180" s="15">
        <v>0.67800000000000005</v>
      </c>
      <c r="H180" s="36">
        <v>0.72</v>
      </c>
      <c r="I180" s="40">
        <f t="shared" si="19"/>
        <v>30.499370012599748</v>
      </c>
      <c r="J180" s="29">
        <v>1940</v>
      </c>
      <c r="K180" s="14">
        <v>3792</v>
      </c>
      <c r="L180" s="30">
        <v>3792</v>
      </c>
      <c r="M180" s="40">
        <f t="shared" si="20"/>
        <v>16.633333333333333</v>
      </c>
      <c r="N180" s="44">
        <f t="shared" si="21"/>
        <v>0.69133333333333324</v>
      </c>
      <c r="O180" s="49">
        <f t="shared" si="22"/>
        <v>3.3333333333331439E-2</v>
      </c>
      <c r="P180" s="16">
        <f t="shared" si="23"/>
        <v>-6.666666666666643E-2</v>
      </c>
      <c r="Q180" s="50">
        <f t="shared" si="24"/>
        <v>3.3333333333331439E-2</v>
      </c>
      <c r="R180" s="57">
        <f t="shared" si="25"/>
        <v>1.5333333333333199E-2</v>
      </c>
      <c r="S180" s="17">
        <f t="shared" si="18"/>
        <v>1.3333333333333197E-2</v>
      </c>
      <c r="T180" s="58">
        <f t="shared" si="26"/>
        <v>-2.8666666666666729E-2</v>
      </c>
    </row>
    <row r="181" spans="1:20">
      <c r="A181" s="25" t="s">
        <v>180</v>
      </c>
      <c r="B181" s="75">
        <v>43384.524548611109</v>
      </c>
      <c r="C181" s="29">
        <v>16.600000000000001</v>
      </c>
      <c r="D181" s="14">
        <v>16.7</v>
      </c>
      <c r="E181" s="30">
        <v>16.600000000000001</v>
      </c>
      <c r="F181" s="35">
        <v>0.66800000000000004</v>
      </c>
      <c r="G181" s="15">
        <v>0.67100000000000004</v>
      </c>
      <c r="H181" s="36">
        <v>0.70699999999999996</v>
      </c>
      <c r="I181" s="40">
        <f t="shared" si="19"/>
        <v>32.489618218352312</v>
      </c>
      <c r="J181" s="29">
        <v>1880</v>
      </c>
      <c r="K181" s="14">
        <v>3539</v>
      </c>
      <c r="L181" s="30">
        <v>3539</v>
      </c>
      <c r="M181" s="40">
        <f t="shared" si="20"/>
        <v>16.633333333333333</v>
      </c>
      <c r="N181" s="44">
        <f t="shared" si="21"/>
        <v>0.68199999999999994</v>
      </c>
      <c r="O181" s="49">
        <f t="shared" si="22"/>
        <v>3.3333333333331439E-2</v>
      </c>
      <c r="P181" s="16">
        <f t="shared" si="23"/>
        <v>-6.666666666666643E-2</v>
      </c>
      <c r="Q181" s="50">
        <f t="shared" si="24"/>
        <v>3.3333333333331439E-2</v>
      </c>
      <c r="R181" s="57">
        <f t="shared" si="25"/>
        <v>1.3999999999999901E-2</v>
      </c>
      <c r="S181" s="17">
        <f t="shared" si="18"/>
        <v>1.0999999999999899E-2</v>
      </c>
      <c r="T181" s="58">
        <f t="shared" si="26"/>
        <v>-2.5000000000000022E-2</v>
      </c>
    </row>
    <row r="182" spans="1:20">
      <c r="A182" s="25" t="s">
        <v>181</v>
      </c>
      <c r="B182" s="75">
        <v>43384.533460648148</v>
      </c>
      <c r="C182" s="29">
        <v>16.600000000000001</v>
      </c>
      <c r="D182" s="14">
        <v>16.8</v>
      </c>
      <c r="E182" s="30">
        <v>16.600000000000001</v>
      </c>
      <c r="F182" s="35">
        <v>0.66200000000000003</v>
      </c>
      <c r="G182" s="15">
        <v>0.66600000000000004</v>
      </c>
      <c r="H182" s="36">
        <v>0.7</v>
      </c>
      <c r="I182" s="40">
        <f t="shared" si="19"/>
        <v>32.564555829044529</v>
      </c>
      <c r="J182" s="29">
        <v>1834</v>
      </c>
      <c r="K182" s="14">
        <v>3552</v>
      </c>
      <c r="L182" s="30">
        <v>3552</v>
      </c>
      <c r="M182" s="40">
        <f t="shared" si="20"/>
        <v>16.666666666666668</v>
      </c>
      <c r="N182" s="44">
        <f t="shared" si="21"/>
        <v>0.67600000000000005</v>
      </c>
      <c r="O182" s="49">
        <f t="shared" si="22"/>
        <v>6.666666666666643E-2</v>
      </c>
      <c r="P182" s="16">
        <f t="shared" si="23"/>
        <v>-0.13333333333333286</v>
      </c>
      <c r="Q182" s="50">
        <f t="shared" si="24"/>
        <v>6.666666666666643E-2</v>
      </c>
      <c r="R182" s="57">
        <f t="shared" si="25"/>
        <v>1.4000000000000012E-2</v>
      </c>
      <c r="S182" s="17">
        <f t="shared" si="18"/>
        <v>1.0000000000000009E-2</v>
      </c>
      <c r="T182" s="58">
        <f t="shared" si="26"/>
        <v>-2.399999999999991E-2</v>
      </c>
    </row>
    <row r="183" spans="1:20">
      <c r="A183" s="25" t="s">
        <v>182</v>
      </c>
      <c r="B183" s="75">
        <v>43384.542326388888</v>
      </c>
      <c r="C183" s="29">
        <v>16.600000000000001</v>
      </c>
      <c r="D183" s="14">
        <v>16.7</v>
      </c>
      <c r="E183" s="30">
        <v>16.600000000000001</v>
      </c>
      <c r="F183" s="35">
        <v>0.65200000000000002</v>
      </c>
      <c r="G183" s="15">
        <v>0.65600000000000003</v>
      </c>
      <c r="H183" s="36">
        <v>0.68500000000000005</v>
      </c>
      <c r="I183" s="40">
        <f t="shared" si="19"/>
        <v>32.478406427854033</v>
      </c>
      <c r="J183" s="29">
        <v>1841</v>
      </c>
      <c r="K183" s="14">
        <v>3560</v>
      </c>
      <c r="L183" s="30">
        <v>3560</v>
      </c>
      <c r="M183" s="40">
        <f t="shared" si="20"/>
        <v>16.633333333333333</v>
      </c>
      <c r="N183" s="44">
        <f t="shared" si="21"/>
        <v>0.66433333333333333</v>
      </c>
      <c r="O183" s="49">
        <f t="shared" si="22"/>
        <v>3.3333333333331439E-2</v>
      </c>
      <c r="P183" s="16">
        <f t="shared" si="23"/>
        <v>-6.666666666666643E-2</v>
      </c>
      <c r="Q183" s="50">
        <f t="shared" si="24"/>
        <v>3.3333333333331439E-2</v>
      </c>
      <c r="R183" s="57">
        <f t="shared" si="25"/>
        <v>1.2333333333333307E-2</v>
      </c>
      <c r="S183" s="17">
        <f t="shared" si="18"/>
        <v>8.3333333333333037E-3</v>
      </c>
      <c r="T183" s="58">
        <f t="shared" si="26"/>
        <v>-2.0666666666666722E-2</v>
      </c>
    </row>
    <row r="184" spans="1:20">
      <c r="A184" s="25" t="s">
        <v>183</v>
      </c>
      <c r="B184" s="75">
        <v>43384.551203703704</v>
      </c>
      <c r="C184" s="29">
        <v>16.600000000000001</v>
      </c>
      <c r="D184" s="14">
        <v>16.7</v>
      </c>
      <c r="E184" s="30">
        <v>16.600000000000001</v>
      </c>
      <c r="F184" s="35">
        <v>0.64</v>
      </c>
      <c r="G184" s="15">
        <v>0.64600000000000002</v>
      </c>
      <c r="H184" s="36">
        <v>0.66900000000000004</v>
      </c>
      <c r="I184" s="40">
        <f t="shared" si="19"/>
        <v>33.419458467186779</v>
      </c>
      <c r="J184" s="29">
        <v>1776</v>
      </c>
      <c r="K184" s="14">
        <v>3470</v>
      </c>
      <c r="L184" s="30">
        <v>3470</v>
      </c>
      <c r="M184" s="40">
        <f t="shared" si="20"/>
        <v>16.633333333333333</v>
      </c>
      <c r="N184" s="44">
        <f t="shared" si="21"/>
        <v>0.65166666666666673</v>
      </c>
      <c r="O184" s="49">
        <f t="shared" si="22"/>
        <v>3.3333333333331439E-2</v>
      </c>
      <c r="P184" s="16">
        <f t="shared" si="23"/>
        <v>-6.666666666666643E-2</v>
      </c>
      <c r="Q184" s="50">
        <f t="shared" si="24"/>
        <v>3.3333333333331439E-2</v>
      </c>
      <c r="R184" s="57">
        <f t="shared" si="25"/>
        <v>1.1666666666666714E-2</v>
      </c>
      <c r="S184" s="17">
        <f t="shared" si="18"/>
        <v>5.6666666666667087E-3</v>
      </c>
      <c r="T184" s="58">
        <f t="shared" si="26"/>
        <v>-1.7333333333333312E-2</v>
      </c>
    </row>
    <row r="185" spans="1:20">
      <c r="A185" s="25" t="s">
        <v>184</v>
      </c>
      <c r="B185" s="75">
        <v>43384.560081018521</v>
      </c>
      <c r="C185" s="29">
        <v>16.7</v>
      </c>
      <c r="D185" s="14">
        <v>16.8</v>
      </c>
      <c r="E185" s="30">
        <v>16.7</v>
      </c>
      <c r="F185" s="35">
        <v>0.64400000000000002</v>
      </c>
      <c r="G185" s="15">
        <v>0.64800000000000002</v>
      </c>
      <c r="H185" s="36">
        <v>0.67500000000000004</v>
      </c>
      <c r="I185" s="40">
        <f t="shared" si="19"/>
        <v>35.670333700036672</v>
      </c>
      <c r="J185" s="29">
        <v>1695</v>
      </c>
      <c r="K185" s="14">
        <v>3243</v>
      </c>
      <c r="L185" s="30">
        <v>3243</v>
      </c>
      <c r="M185" s="40">
        <f t="shared" si="20"/>
        <v>16.733333333333334</v>
      </c>
      <c r="N185" s="44">
        <f t="shared" si="21"/>
        <v>0.65566666666666673</v>
      </c>
      <c r="O185" s="49">
        <f t="shared" si="22"/>
        <v>3.3333333333334991E-2</v>
      </c>
      <c r="P185" s="16">
        <f t="shared" si="23"/>
        <v>-6.666666666666643E-2</v>
      </c>
      <c r="Q185" s="50">
        <f t="shared" si="24"/>
        <v>3.3333333333334991E-2</v>
      </c>
      <c r="R185" s="57">
        <f t="shared" si="25"/>
        <v>1.1666666666666714E-2</v>
      </c>
      <c r="S185" s="17">
        <f t="shared" si="18"/>
        <v>7.6666666666667105E-3</v>
      </c>
      <c r="T185" s="58">
        <f t="shared" si="26"/>
        <v>-1.9333333333333313E-2</v>
      </c>
    </row>
    <row r="186" spans="1:20">
      <c r="A186" s="25" t="s">
        <v>185</v>
      </c>
      <c r="B186" s="75">
        <v>43384.568981481483</v>
      </c>
      <c r="C186" s="29">
        <v>16.7</v>
      </c>
      <c r="D186" s="14">
        <v>16.7</v>
      </c>
      <c r="E186" s="30">
        <v>16.600000000000001</v>
      </c>
      <c r="F186" s="35">
        <v>0.63300000000000001</v>
      </c>
      <c r="G186" s="15">
        <v>0.63900000000000001</v>
      </c>
      <c r="H186" s="36">
        <v>0.66</v>
      </c>
      <c r="I186" s="40">
        <f t="shared" si="19"/>
        <v>37.819875776397517</v>
      </c>
      <c r="J186" s="29">
        <v>1608</v>
      </c>
      <c r="K186" s="14">
        <v>3060</v>
      </c>
      <c r="L186" s="30">
        <v>3060</v>
      </c>
      <c r="M186" s="40">
        <f t="shared" si="20"/>
        <v>16.666666666666668</v>
      </c>
      <c r="N186" s="44">
        <f t="shared" si="21"/>
        <v>0.64400000000000002</v>
      </c>
      <c r="O186" s="49">
        <f t="shared" si="22"/>
        <v>-3.3333333333331439E-2</v>
      </c>
      <c r="P186" s="16">
        <f t="shared" si="23"/>
        <v>-3.3333333333331439E-2</v>
      </c>
      <c r="Q186" s="50">
        <f t="shared" si="24"/>
        <v>6.666666666666643E-2</v>
      </c>
      <c r="R186" s="57">
        <f t="shared" si="25"/>
        <v>1.100000000000001E-2</v>
      </c>
      <c r="S186" s="17">
        <f t="shared" si="18"/>
        <v>5.0000000000000044E-3</v>
      </c>
      <c r="T186" s="58">
        <f t="shared" si="26"/>
        <v>-1.6000000000000014E-2</v>
      </c>
    </row>
    <row r="187" spans="1:20">
      <c r="A187" s="25" t="s">
        <v>186</v>
      </c>
      <c r="B187" s="75">
        <v>43384.5778587963</v>
      </c>
      <c r="C187" s="29">
        <v>16.7</v>
      </c>
      <c r="D187" s="14">
        <v>16.8</v>
      </c>
      <c r="E187" s="30">
        <v>16.7</v>
      </c>
      <c r="F187" s="35">
        <v>0.63600000000000001</v>
      </c>
      <c r="G187" s="15">
        <v>0.64</v>
      </c>
      <c r="H187" s="36">
        <v>0.65800000000000003</v>
      </c>
      <c r="I187" s="40">
        <f t="shared" si="19"/>
        <v>37.530696121243253</v>
      </c>
      <c r="J187" s="29">
        <v>1602</v>
      </c>
      <c r="K187" s="14">
        <v>3092</v>
      </c>
      <c r="L187" s="30">
        <v>3092</v>
      </c>
      <c r="M187" s="40">
        <f t="shared" si="20"/>
        <v>16.733333333333334</v>
      </c>
      <c r="N187" s="44">
        <f t="shared" si="21"/>
        <v>0.64466666666666672</v>
      </c>
      <c r="O187" s="49">
        <f t="shared" si="22"/>
        <v>3.3333333333334991E-2</v>
      </c>
      <c r="P187" s="16">
        <f t="shared" si="23"/>
        <v>-6.666666666666643E-2</v>
      </c>
      <c r="Q187" s="50">
        <f t="shared" si="24"/>
        <v>3.3333333333334991E-2</v>
      </c>
      <c r="R187" s="57">
        <f t="shared" si="25"/>
        <v>8.6666666666667114E-3</v>
      </c>
      <c r="S187" s="17">
        <f t="shared" si="18"/>
        <v>4.6666666666667078E-3</v>
      </c>
      <c r="T187" s="58">
        <f t="shared" si="26"/>
        <v>-1.3333333333333308E-2</v>
      </c>
    </row>
    <row r="188" spans="1:20">
      <c r="A188" s="25" t="s">
        <v>187</v>
      </c>
      <c r="B188" s="75">
        <v>43384.586759259262</v>
      </c>
      <c r="C188" s="29">
        <v>16.7</v>
      </c>
      <c r="D188" s="14">
        <v>16.8</v>
      </c>
      <c r="E188" s="30">
        <v>16.7</v>
      </c>
      <c r="F188" s="35">
        <v>0.63500000000000001</v>
      </c>
      <c r="G188" s="15">
        <v>0.64</v>
      </c>
      <c r="H188" s="36">
        <v>0.66</v>
      </c>
      <c r="I188" s="40">
        <f t="shared" si="19"/>
        <v>37.343558282208591</v>
      </c>
      <c r="J188" s="29">
        <v>1616</v>
      </c>
      <c r="K188" s="14">
        <v>3104</v>
      </c>
      <c r="L188" s="30">
        <v>3104</v>
      </c>
      <c r="M188" s="40">
        <f t="shared" si="20"/>
        <v>16.733333333333334</v>
      </c>
      <c r="N188" s="44">
        <f t="shared" si="21"/>
        <v>0.64500000000000002</v>
      </c>
      <c r="O188" s="49">
        <f t="shared" si="22"/>
        <v>3.3333333333334991E-2</v>
      </c>
      <c r="P188" s="16">
        <f t="shared" si="23"/>
        <v>-6.666666666666643E-2</v>
      </c>
      <c r="Q188" s="50">
        <f t="shared" si="24"/>
        <v>3.3333333333334991E-2</v>
      </c>
      <c r="R188" s="57">
        <f t="shared" si="25"/>
        <v>1.0000000000000009E-2</v>
      </c>
      <c r="S188" s="17">
        <f t="shared" si="18"/>
        <v>5.0000000000000044E-3</v>
      </c>
      <c r="T188" s="58">
        <f t="shared" si="26"/>
        <v>-1.5000000000000013E-2</v>
      </c>
    </row>
    <row r="189" spans="1:20">
      <c r="A189" s="25" t="s">
        <v>188</v>
      </c>
      <c r="B189" s="75">
        <v>43384.595636574071</v>
      </c>
      <c r="C189" s="29">
        <v>16.7</v>
      </c>
      <c r="D189" s="14">
        <v>16.8</v>
      </c>
      <c r="E189" s="30">
        <v>16.7</v>
      </c>
      <c r="F189" s="35">
        <v>0.627</v>
      </c>
      <c r="G189" s="15">
        <v>0.63300000000000001</v>
      </c>
      <c r="H189" s="36">
        <v>0.65</v>
      </c>
      <c r="I189" s="40">
        <f t="shared" si="19"/>
        <v>36.206994915044028</v>
      </c>
      <c r="J189" s="29">
        <v>1659</v>
      </c>
      <c r="K189" s="14">
        <v>3202</v>
      </c>
      <c r="L189" s="30">
        <v>3202</v>
      </c>
      <c r="M189" s="40">
        <f t="shared" si="20"/>
        <v>16.733333333333334</v>
      </c>
      <c r="N189" s="44">
        <f t="shared" si="21"/>
        <v>0.63666666666666671</v>
      </c>
      <c r="O189" s="49">
        <f t="shared" si="22"/>
        <v>3.3333333333334991E-2</v>
      </c>
      <c r="P189" s="16">
        <f t="shared" si="23"/>
        <v>-6.666666666666643E-2</v>
      </c>
      <c r="Q189" s="50">
        <f t="shared" si="24"/>
        <v>3.3333333333334991E-2</v>
      </c>
      <c r="R189" s="57">
        <f t="shared" si="25"/>
        <v>9.6666666666667123E-3</v>
      </c>
      <c r="S189" s="17">
        <f t="shared" si="18"/>
        <v>3.6666666666667069E-3</v>
      </c>
      <c r="T189" s="58">
        <f t="shared" si="26"/>
        <v>-1.3333333333333308E-2</v>
      </c>
    </row>
    <row r="190" spans="1:20">
      <c r="A190" s="25" t="s">
        <v>189</v>
      </c>
      <c r="B190" s="75">
        <v>43384.613379629627</v>
      </c>
      <c r="C190" s="29">
        <v>16.7</v>
      </c>
      <c r="D190" s="14">
        <v>16.8</v>
      </c>
      <c r="E190" s="30">
        <v>16.7</v>
      </c>
      <c r="F190" s="35">
        <v>0.61899999999999999</v>
      </c>
      <c r="G190" s="15">
        <v>0.625</v>
      </c>
      <c r="H190" s="36">
        <v>0.64</v>
      </c>
      <c r="I190" s="40">
        <f t="shared" si="19"/>
        <v>35.83241252302026</v>
      </c>
      <c r="J190" s="29">
        <v>1701</v>
      </c>
      <c r="K190" s="14">
        <v>3222</v>
      </c>
      <c r="L190" s="30">
        <v>3222</v>
      </c>
      <c r="M190" s="40">
        <f t="shared" si="20"/>
        <v>16.733333333333334</v>
      </c>
      <c r="N190" s="44">
        <f t="shared" si="21"/>
        <v>0.628</v>
      </c>
      <c r="O190" s="49">
        <f t="shared" si="22"/>
        <v>3.3333333333334991E-2</v>
      </c>
      <c r="P190" s="16">
        <f t="shared" si="23"/>
        <v>-6.666666666666643E-2</v>
      </c>
      <c r="Q190" s="50">
        <f t="shared" si="24"/>
        <v>3.3333333333334991E-2</v>
      </c>
      <c r="R190" s="57">
        <f t="shared" si="25"/>
        <v>9.000000000000008E-3</v>
      </c>
      <c r="S190" s="17">
        <f t="shared" si="18"/>
        <v>3.0000000000000027E-3</v>
      </c>
      <c r="T190" s="58">
        <f t="shared" si="26"/>
        <v>-1.2000000000000011E-2</v>
      </c>
    </row>
    <row r="191" spans="1:20">
      <c r="A191" s="25" t="s">
        <v>190</v>
      </c>
      <c r="B191" s="75">
        <v>43384.622256944444</v>
      </c>
      <c r="C191" s="29">
        <v>16.7</v>
      </c>
      <c r="D191" s="14">
        <v>16.8</v>
      </c>
      <c r="E191" s="30">
        <v>16.7</v>
      </c>
      <c r="F191" s="35">
        <v>0.61199999999999999</v>
      </c>
      <c r="G191" s="15">
        <v>0.61899999999999999</v>
      </c>
      <c r="H191" s="36">
        <v>0.629</v>
      </c>
      <c r="I191" s="40">
        <f t="shared" si="19"/>
        <v>36.25319756612442</v>
      </c>
      <c r="J191" s="29">
        <v>1653</v>
      </c>
      <c r="K191" s="14">
        <v>3200</v>
      </c>
      <c r="L191" s="30">
        <v>3200</v>
      </c>
      <c r="M191" s="40">
        <f t="shared" si="20"/>
        <v>16.733333333333334</v>
      </c>
      <c r="N191" s="44">
        <f t="shared" si="21"/>
        <v>0.62</v>
      </c>
      <c r="O191" s="49">
        <f t="shared" si="22"/>
        <v>3.3333333333334991E-2</v>
      </c>
      <c r="P191" s="16">
        <f t="shared" si="23"/>
        <v>-6.666666666666643E-2</v>
      </c>
      <c r="Q191" s="50">
        <f t="shared" si="24"/>
        <v>3.3333333333334991E-2</v>
      </c>
      <c r="R191" s="57">
        <f t="shared" si="25"/>
        <v>8.0000000000000071E-3</v>
      </c>
      <c r="S191" s="17">
        <f t="shared" si="18"/>
        <v>1.0000000000000009E-3</v>
      </c>
      <c r="T191" s="58">
        <f t="shared" si="26"/>
        <v>-9.000000000000008E-3</v>
      </c>
    </row>
    <row r="192" spans="1:20">
      <c r="A192" s="25" t="s">
        <v>191</v>
      </c>
      <c r="B192" s="75">
        <v>43384.63113425926</v>
      </c>
      <c r="C192" s="29">
        <v>16.7</v>
      </c>
      <c r="D192" s="14">
        <v>16.8</v>
      </c>
      <c r="E192" s="30">
        <v>16.7</v>
      </c>
      <c r="F192" s="35">
        <v>0.61499999999999999</v>
      </c>
      <c r="G192" s="15">
        <v>0.621</v>
      </c>
      <c r="H192" s="36">
        <v>0.63200000000000001</v>
      </c>
      <c r="I192" s="40">
        <f t="shared" si="19"/>
        <v>32.68137420006736</v>
      </c>
      <c r="J192" s="29">
        <v>1809</v>
      </c>
      <c r="K192" s="14">
        <v>3549</v>
      </c>
      <c r="L192" s="30">
        <v>3549</v>
      </c>
      <c r="M192" s="40">
        <f t="shared" si="20"/>
        <v>16.733333333333334</v>
      </c>
      <c r="N192" s="44">
        <f t="shared" si="21"/>
        <v>0.62266666666666659</v>
      </c>
      <c r="O192" s="49">
        <f t="shared" si="22"/>
        <v>3.3333333333334991E-2</v>
      </c>
      <c r="P192" s="16">
        <f t="shared" si="23"/>
        <v>-6.666666666666643E-2</v>
      </c>
      <c r="Q192" s="50">
        <f t="shared" si="24"/>
        <v>3.3333333333334991E-2</v>
      </c>
      <c r="R192" s="57">
        <f t="shared" si="25"/>
        <v>7.6666666666665995E-3</v>
      </c>
      <c r="S192" s="17">
        <f t="shared" si="18"/>
        <v>1.6666666666665941E-3</v>
      </c>
      <c r="T192" s="58">
        <f t="shared" si="26"/>
        <v>-9.3333333333334156E-3</v>
      </c>
    </row>
    <row r="193" spans="1:20">
      <c r="A193" s="25" t="s">
        <v>192</v>
      </c>
      <c r="B193" s="75">
        <v>43384.639999999999</v>
      </c>
      <c r="C193" s="29">
        <v>16.8</v>
      </c>
      <c r="D193" s="14">
        <v>16.899999999999999</v>
      </c>
      <c r="E193" s="30">
        <v>16.7</v>
      </c>
      <c r="F193" s="35">
        <v>0.63100000000000001</v>
      </c>
      <c r="G193" s="15">
        <v>0.63600000000000001</v>
      </c>
      <c r="H193" s="36">
        <v>0.65100000000000002</v>
      </c>
      <c r="I193" s="40">
        <f t="shared" si="19"/>
        <v>29.73140749846343</v>
      </c>
      <c r="J193" s="29">
        <v>1994</v>
      </c>
      <c r="K193" s="14">
        <v>3884</v>
      </c>
      <c r="L193" s="30">
        <v>3884</v>
      </c>
      <c r="M193" s="40">
        <f t="shared" si="20"/>
        <v>16.8</v>
      </c>
      <c r="N193" s="44">
        <f t="shared" si="21"/>
        <v>0.63933333333333331</v>
      </c>
      <c r="O193" s="49">
        <f t="shared" si="22"/>
        <v>0</v>
      </c>
      <c r="P193" s="16">
        <f t="shared" si="23"/>
        <v>-9.9999999999997868E-2</v>
      </c>
      <c r="Q193" s="50">
        <f t="shared" si="24"/>
        <v>0.10000000000000142</v>
      </c>
      <c r="R193" s="57">
        <f t="shared" si="25"/>
        <v>8.3333333333333037E-3</v>
      </c>
      <c r="S193" s="17">
        <f t="shared" si="18"/>
        <v>3.3333333333332993E-3</v>
      </c>
      <c r="T193" s="58">
        <f t="shared" si="26"/>
        <v>-1.1666666666666714E-2</v>
      </c>
    </row>
    <row r="194" spans="1:20">
      <c r="A194" s="25" t="s">
        <v>193</v>
      </c>
      <c r="B194" s="75">
        <v>43384.648912037039</v>
      </c>
      <c r="C194" s="29">
        <v>16.8</v>
      </c>
      <c r="D194" s="14">
        <v>16.899999999999999</v>
      </c>
      <c r="E194" s="30">
        <v>16.7</v>
      </c>
      <c r="F194" s="35">
        <v>0.63100000000000001</v>
      </c>
      <c r="G194" s="15">
        <v>0.63400000000000001</v>
      </c>
      <c r="H194" s="36">
        <v>0.65</v>
      </c>
      <c r="I194" s="40">
        <f t="shared" si="19"/>
        <v>29.009002700810242</v>
      </c>
      <c r="J194" s="29">
        <v>2029</v>
      </c>
      <c r="K194" s="14">
        <v>3984</v>
      </c>
      <c r="L194" s="30">
        <v>3984</v>
      </c>
      <c r="M194" s="40">
        <f t="shared" si="20"/>
        <v>16.8</v>
      </c>
      <c r="N194" s="44">
        <f t="shared" si="21"/>
        <v>0.63833333333333331</v>
      </c>
      <c r="O194" s="49">
        <f t="shared" si="22"/>
        <v>0</v>
      </c>
      <c r="P194" s="16">
        <f t="shared" si="23"/>
        <v>-9.9999999999997868E-2</v>
      </c>
      <c r="Q194" s="50">
        <f t="shared" si="24"/>
        <v>0.10000000000000142</v>
      </c>
      <c r="R194" s="57">
        <f t="shared" si="25"/>
        <v>7.3333333333333028E-3</v>
      </c>
      <c r="S194" s="17">
        <f t="shared" ref="S194:S207" si="27">N194-G194</f>
        <v>4.3333333333333002E-3</v>
      </c>
      <c r="T194" s="58">
        <f t="shared" si="26"/>
        <v>-1.1666666666666714E-2</v>
      </c>
    </row>
    <row r="195" spans="1:20">
      <c r="A195" s="25" t="s">
        <v>194</v>
      </c>
      <c r="B195" s="75">
        <v>43384.657812500001</v>
      </c>
      <c r="C195" s="29">
        <v>16.8</v>
      </c>
      <c r="D195" s="14">
        <v>16.899999999999999</v>
      </c>
      <c r="E195" s="30">
        <v>16.8</v>
      </c>
      <c r="F195" s="35">
        <v>0.625</v>
      </c>
      <c r="G195" s="15">
        <v>0.63100000000000001</v>
      </c>
      <c r="H195" s="36">
        <v>0.64600000000000002</v>
      </c>
      <c r="I195" s="40">
        <f t="shared" ref="I195:I208" si="28">100000/AVERAGE(J195:L195)-1</f>
        <v>25.382903878286868</v>
      </c>
      <c r="J195" s="29">
        <v>2261</v>
      </c>
      <c r="K195" s="14">
        <v>4555</v>
      </c>
      <c r="L195" s="30">
        <v>4555</v>
      </c>
      <c r="M195" s="40">
        <f t="shared" ref="M195:M208" si="29">AVERAGE(C195:E195)</f>
        <v>16.833333333333332</v>
      </c>
      <c r="N195" s="44">
        <f t="shared" ref="N195:N208" si="30">AVERAGE(F195:H195)</f>
        <v>0.63400000000000001</v>
      </c>
      <c r="O195" s="49">
        <f t="shared" ref="O195:O208" si="31">M195-C195</f>
        <v>3.3333333333331439E-2</v>
      </c>
      <c r="P195" s="16">
        <f t="shared" ref="P195:P208" si="32">M195-D195</f>
        <v>-6.666666666666643E-2</v>
      </c>
      <c r="Q195" s="50">
        <f t="shared" ref="Q195:Q208" si="33">M195-E195</f>
        <v>3.3333333333331439E-2</v>
      </c>
      <c r="R195" s="57">
        <f t="shared" ref="R195:R208" si="34">N195-F195</f>
        <v>9.000000000000008E-3</v>
      </c>
      <c r="S195" s="17">
        <f t="shared" si="27"/>
        <v>3.0000000000000027E-3</v>
      </c>
      <c r="T195" s="58">
        <f t="shared" ref="T195:T208" si="35">N195-H195</f>
        <v>-1.2000000000000011E-2</v>
      </c>
    </row>
    <row r="196" spans="1:20">
      <c r="A196" s="25" t="s">
        <v>195</v>
      </c>
      <c r="B196" s="75">
        <v>43384.666689814818</v>
      </c>
      <c r="C196" s="29">
        <v>16.8</v>
      </c>
      <c r="D196" s="14">
        <v>16.899999999999999</v>
      </c>
      <c r="E196" s="30">
        <v>16.8</v>
      </c>
      <c r="F196" s="35">
        <v>0.63</v>
      </c>
      <c r="G196" s="15">
        <v>0.63500000000000001</v>
      </c>
      <c r="H196" s="36">
        <v>0.65300000000000002</v>
      </c>
      <c r="I196" s="40">
        <f t="shared" si="28"/>
        <v>24.008336112037348</v>
      </c>
      <c r="J196" s="29">
        <v>2368</v>
      </c>
      <c r="K196" s="14">
        <v>4814</v>
      </c>
      <c r="L196" s="30">
        <v>4814</v>
      </c>
      <c r="M196" s="40">
        <f t="shared" si="29"/>
        <v>16.833333333333332</v>
      </c>
      <c r="N196" s="44">
        <f t="shared" si="30"/>
        <v>0.63933333333333342</v>
      </c>
      <c r="O196" s="49">
        <f t="shared" si="31"/>
        <v>3.3333333333331439E-2</v>
      </c>
      <c r="P196" s="16">
        <f t="shared" si="32"/>
        <v>-6.666666666666643E-2</v>
      </c>
      <c r="Q196" s="50">
        <f t="shared" si="33"/>
        <v>3.3333333333331439E-2</v>
      </c>
      <c r="R196" s="57">
        <f t="shared" si="34"/>
        <v>9.3333333333334156E-3</v>
      </c>
      <c r="S196" s="17">
        <f t="shared" si="27"/>
        <v>4.3333333333334112E-3</v>
      </c>
      <c r="T196" s="58">
        <f t="shared" si="35"/>
        <v>-1.3666666666666605E-2</v>
      </c>
    </row>
    <row r="197" spans="1:20">
      <c r="A197" s="25" t="s">
        <v>196</v>
      </c>
      <c r="B197" s="75">
        <v>43384.675567129627</v>
      </c>
      <c r="C197" s="29">
        <v>16.8</v>
      </c>
      <c r="D197" s="14">
        <v>16.8</v>
      </c>
      <c r="E197" s="30">
        <v>16.8</v>
      </c>
      <c r="F197" s="35">
        <v>0.621</v>
      </c>
      <c r="G197" s="15">
        <v>0.626</v>
      </c>
      <c r="H197" s="36">
        <v>0.63900000000000001</v>
      </c>
      <c r="I197" s="40">
        <f t="shared" si="28"/>
        <v>22.986567522187574</v>
      </c>
      <c r="J197" s="29">
        <v>2467</v>
      </c>
      <c r="K197" s="14">
        <v>5020</v>
      </c>
      <c r="L197" s="30">
        <v>5020</v>
      </c>
      <c r="M197" s="40">
        <f t="shared" si="29"/>
        <v>16.8</v>
      </c>
      <c r="N197" s="44">
        <f t="shared" si="30"/>
        <v>0.6286666666666666</v>
      </c>
      <c r="O197" s="49">
        <f t="shared" si="31"/>
        <v>0</v>
      </c>
      <c r="P197" s="16">
        <f t="shared" si="32"/>
        <v>0</v>
      </c>
      <c r="Q197" s="50">
        <f t="shared" si="33"/>
        <v>0</v>
      </c>
      <c r="R197" s="57">
        <f t="shared" si="34"/>
        <v>7.6666666666665995E-3</v>
      </c>
      <c r="S197" s="17">
        <f t="shared" si="27"/>
        <v>2.666666666666595E-3</v>
      </c>
      <c r="T197" s="58">
        <f t="shared" si="35"/>
        <v>-1.0333333333333417E-2</v>
      </c>
    </row>
    <row r="198" spans="1:20">
      <c r="A198" s="25" t="s">
        <v>197</v>
      </c>
      <c r="B198" s="75">
        <v>43384.684432870374</v>
      </c>
      <c r="C198" s="29">
        <v>16.8</v>
      </c>
      <c r="D198" s="14">
        <v>16.899999999999999</v>
      </c>
      <c r="E198" s="30">
        <v>16.8</v>
      </c>
      <c r="F198" s="35">
        <v>0.624</v>
      </c>
      <c r="G198" s="15">
        <v>0.628</v>
      </c>
      <c r="H198" s="36">
        <v>0.64100000000000001</v>
      </c>
      <c r="I198" s="40">
        <f t="shared" si="28"/>
        <v>20.125272868107878</v>
      </c>
      <c r="J198" s="29">
        <v>2739</v>
      </c>
      <c r="K198" s="14">
        <v>5731</v>
      </c>
      <c r="L198" s="30">
        <v>5731</v>
      </c>
      <c r="M198" s="40">
        <f t="shared" si="29"/>
        <v>16.833333333333332</v>
      </c>
      <c r="N198" s="44">
        <f t="shared" si="30"/>
        <v>0.63100000000000001</v>
      </c>
      <c r="O198" s="49">
        <f t="shared" si="31"/>
        <v>3.3333333333331439E-2</v>
      </c>
      <c r="P198" s="16">
        <f t="shared" si="32"/>
        <v>-6.666666666666643E-2</v>
      </c>
      <c r="Q198" s="50">
        <f t="shared" si="33"/>
        <v>3.3333333333331439E-2</v>
      </c>
      <c r="R198" s="57">
        <f t="shared" si="34"/>
        <v>7.0000000000000062E-3</v>
      </c>
      <c r="S198" s="17">
        <f t="shared" si="27"/>
        <v>3.0000000000000027E-3</v>
      </c>
      <c r="T198" s="58">
        <f t="shared" si="35"/>
        <v>-1.0000000000000009E-2</v>
      </c>
    </row>
    <row r="199" spans="1:20">
      <c r="A199" s="25" t="s">
        <v>198</v>
      </c>
      <c r="B199" s="75">
        <v>43384.693344907406</v>
      </c>
      <c r="C199" s="29">
        <v>16.8</v>
      </c>
      <c r="D199" s="14">
        <v>16.899999999999999</v>
      </c>
      <c r="E199" s="30">
        <v>16.8</v>
      </c>
      <c r="F199" s="35">
        <v>0.626</v>
      </c>
      <c r="G199" s="15">
        <v>0.63100000000000001</v>
      </c>
      <c r="H199" s="36">
        <v>0.64500000000000002</v>
      </c>
      <c r="I199" s="40">
        <f t="shared" si="28"/>
        <v>16.019345322516592</v>
      </c>
      <c r="J199" s="29">
        <v>3305</v>
      </c>
      <c r="K199" s="14">
        <v>7161</v>
      </c>
      <c r="L199" s="30">
        <v>7161</v>
      </c>
      <c r="M199" s="40">
        <f t="shared" si="29"/>
        <v>16.833333333333332</v>
      </c>
      <c r="N199" s="44">
        <f t="shared" si="30"/>
        <v>0.63400000000000001</v>
      </c>
      <c r="O199" s="49">
        <f t="shared" si="31"/>
        <v>3.3333333333331439E-2</v>
      </c>
      <c r="P199" s="16">
        <f t="shared" si="32"/>
        <v>-6.666666666666643E-2</v>
      </c>
      <c r="Q199" s="50">
        <f t="shared" si="33"/>
        <v>3.3333333333331439E-2</v>
      </c>
      <c r="R199" s="57">
        <f t="shared" si="34"/>
        <v>8.0000000000000071E-3</v>
      </c>
      <c r="S199" s="17">
        <f t="shared" si="27"/>
        <v>3.0000000000000027E-3</v>
      </c>
      <c r="T199" s="58">
        <f t="shared" si="35"/>
        <v>-1.100000000000001E-2</v>
      </c>
    </row>
    <row r="200" spans="1:20">
      <c r="A200" s="25" t="s">
        <v>199</v>
      </c>
      <c r="B200" s="75">
        <v>43384.702210648145</v>
      </c>
      <c r="C200" s="29">
        <v>16.8</v>
      </c>
      <c r="D200" s="14">
        <v>16.899999999999999</v>
      </c>
      <c r="E200" s="30">
        <v>16.8</v>
      </c>
      <c r="F200" s="35">
        <v>0.629</v>
      </c>
      <c r="G200" s="15">
        <v>0.63500000000000001</v>
      </c>
      <c r="H200" s="36">
        <v>0.65100000000000002</v>
      </c>
      <c r="I200" s="40">
        <f t="shared" si="28"/>
        <v>12.756419662509172</v>
      </c>
      <c r="J200" s="29">
        <v>4020</v>
      </c>
      <c r="K200" s="14">
        <v>8894</v>
      </c>
      <c r="L200" s="30">
        <v>8894</v>
      </c>
      <c r="M200" s="40">
        <f t="shared" si="29"/>
        <v>16.833333333333332</v>
      </c>
      <c r="N200" s="44">
        <f t="shared" si="30"/>
        <v>0.63833333333333331</v>
      </c>
      <c r="O200" s="49">
        <f t="shared" si="31"/>
        <v>3.3333333333331439E-2</v>
      </c>
      <c r="P200" s="16">
        <f t="shared" si="32"/>
        <v>-6.666666666666643E-2</v>
      </c>
      <c r="Q200" s="50">
        <f t="shared" si="33"/>
        <v>3.3333333333331439E-2</v>
      </c>
      <c r="R200" s="57">
        <f t="shared" si="34"/>
        <v>9.3333333333333046E-3</v>
      </c>
      <c r="S200" s="17">
        <f t="shared" si="27"/>
        <v>3.3333333333332993E-3</v>
      </c>
      <c r="T200" s="58">
        <f t="shared" si="35"/>
        <v>-1.2666666666666715E-2</v>
      </c>
    </row>
    <row r="201" spans="1:20">
      <c r="A201" s="25" t="s">
        <v>200</v>
      </c>
      <c r="B201" s="75">
        <v>43384.711122685185</v>
      </c>
      <c r="C201" s="29">
        <v>16.8</v>
      </c>
      <c r="D201" s="14">
        <v>16.899999999999999</v>
      </c>
      <c r="E201" s="30">
        <v>16.8</v>
      </c>
      <c r="F201" s="35">
        <v>0.64900000000000002</v>
      </c>
      <c r="G201" s="15">
        <v>0.65400000000000003</v>
      </c>
      <c r="H201" s="36">
        <v>0.69299999999999995</v>
      </c>
      <c r="I201" s="40">
        <f t="shared" si="28"/>
        <v>10.278619496973569</v>
      </c>
      <c r="J201" s="29">
        <v>4789</v>
      </c>
      <c r="K201" s="14">
        <v>10905</v>
      </c>
      <c r="L201" s="30">
        <v>10905</v>
      </c>
      <c r="M201" s="40">
        <f t="shared" si="29"/>
        <v>16.833333333333332</v>
      </c>
      <c r="N201" s="44">
        <f t="shared" si="30"/>
        <v>0.66533333333333333</v>
      </c>
      <c r="O201" s="49">
        <f t="shared" si="31"/>
        <v>3.3333333333331439E-2</v>
      </c>
      <c r="P201" s="16">
        <f t="shared" si="32"/>
        <v>-6.666666666666643E-2</v>
      </c>
      <c r="Q201" s="50">
        <f t="shared" si="33"/>
        <v>3.3333333333331439E-2</v>
      </c>
      <c r="R201" s="57">
        <f t="shared" si="34"/>
        <v>1.6333333333333311E-2</v>
      </c>
      <c r="S201" s="17">
        <f t="shared" si="27"/>
        <v>1.1333333333333306E-2</v>
      </c>
      <c r="T201" s="58">
        <f t="shared" si="35"/>
        <v>-2.7666666666666617E-2</v>
      </c>
    </row>
    <row r="202" spans="1:20">
      <c r="A202" s="25" t="s">
        <v>201</v>
      </c>
      <c r="B202" s="75">
        <v>43384.72</v>
      </c>
      <c r="C202" s="29">
        <v>16.8</v>
      </c>
      <c r="D202" s="14">
        <v>17</v>
      </c>
      <c r="E202" s="30">
        <v>16.8</v>
      </c>
      <c r="F202" s="35">
        <v>0.69</v>
      </c>
      <c r="G202" s="15">
        <v>0.69199999999999995</v>
      </c>
      <c r="H202" s="36">
        <v>0.73699999999999999</v>
      </c>
      <c r="I202" s="40">
        <f t="shared" si="28"/>
        <v>7.898644439830333</v>
      </c>
      <c r="J202" s="29">
        <v>5865</v>
      </c>
      <c r="K202" s="14">
        <v>13924</v>
      </c>
      <c r="L202" s="30">
        <v>13924</v>
      </c>
      <c r="M202" s="40">
        <f t="shared" si="29"/>
        <v>16.866666666666664</v>
      </c>
      <c r="N202" s="44">
        <f t="shared" si="30"/>
        <v>0.70633333333333326</v>
      </c>
      <c r="O202" s="49">
        <f t="shared" si="31"/>
        <v>6.6666666666662877E-2</v>
      </c>
      <c r="P202" s="16">
        <f t="shared" si="32"/>
        <v>-0.13333333333333641</v>
      </c>
      <c r="Q202" s="50">
        <f t="shared" si="33"/>
        <v>6.6666666666662877E-2</v>
      </c>
      <c r="R202" s="57">
        <f t="shared" si="34"/>
        <v>1.6333333333333311E-2</v>
      </c>
      <c r="S202" s="17">
        <f t="shared" si="27"/>
        <v>1.4333333333333309E-2</v>
      </c>
      <c r="T202" s="58">
        <f t="shared" si="35"/>
        <v>-3.0666666666666731E-2</v>
      </c>
    </row>
    <row r="203" spans="1:20">
      <c r="A203" s="25" t="s">
        <v>202</v>
      </c>
      <c r="B203" s="75">
        <v>43384.728877314818</v>
      </c>
      <c r="C203" s="29">
        <v>16.899999999999999</v>
      </c>
      <c r="D203" s="14">
        <v>16.899999999999999</v>
      </c>
      <c r="E203" s="30">
        <v>16.8</v>
      </c>
      <c r="F203" s="35">
        <v>0.70899999999999996</v>
      </c>
      <c r="G203" s="15">
        <v>0.70799999999999996</v>
      </c>
      <c r="H203" s="36">
        <v>0.76500000000000001</v>
      </c>
      <c r="I203" s="40">
        <f t="shared" si="28"/>
        <v>4.6241915224686458</v>
      </c>
      <c r="J203" s="29">
        <v>8177</v>
      </c>
      <c r="K203" s="14">
        <v>22582</v>
      </c>
      <c r="L203" s="30">
        <v>22582</v>
      </c>
      <c r="M203" s="40">
        <f t="shared" si="29"/>
        <v>16.866666666666664</v>
      </c>
      <c r="N203" s="44">
        <f t="shared" si="30"/>
        <v>0.72733333333333328</v>
      </c>
      <c r="O203" s="49">
        <f t="shared" si="31"/>
        <v>-3.3333333333334991E-2</v>
      </c>
      <c r="P203" s="16">
        <f t="shared" si="32"/>
        <v>-3.3333333333334991E-2</v>
      </c>
      <c r="Q203" s="50">
        <f t="shared" si="33"/>
        <v>6.6666666666662877E-2</v>
      </c>
      <c r="R203" s="57">
        <f t="shared" si="34"/>
        <v>1.8333333333333313E-2</v>
      </c>
      <c r="S203" s="17">
        <f t="shared" si="27"/>
        <v>1.9333333333333313E-2</v>
      </c>
      <c r="T203" s="58">
        <f t="shared" si="35"/>
        <v>-3.7666666666666737E-2</v>
      </c>
    </row>
    <row r="204" spans="1:20">
      <c r="A204" s="25" t="s">
        <v>203</v>
      </c>
      <c r="B204" s="75">
        <v>43384.737766203703</v>
      </c>
      <c r="C204" s="29">
        <v>16.899999999999999</v>
      </c>
      <c r="D204" s="14">
        <v>16.899999999999999</v>
      </c>
      <c r="E204" s="30">
        <v>16.8</v>
      </c>
      <c r="F204" s="35">
        <v>0.71399999999999997</v>
      </c>
      <c r="G204" s="15">
        <v>0.71299999999999997</v>
      </c>
      <c r="H204" s="36">
        <v>0.77300000000000002</v>
      </c>
      <c r="I204" s="40">
        <f t="shared" si="28"/>
        <v>2.026359592046727</v>
      </c>
      <c r="J204" s="29">
        <v>11585</v>
      </c>
      <c r="K204" s="14">
        <v>43772</v>
      </c>
      <c r="L204" s="30">
        <v>43772</v>
      </c>
      <c r="M204" s="40">
        <f t="shared" si="29"/>
        <v>16.866666666666664</v>
      </c>
      <c r="N204" s="44">
        <f t="shared" si="30"/>
        <v>0.73333333333333339</v>
      </c>
      <c r="O204" s="49">
        <f t="shared" si="31"/>
        <v>-3.3333333333334991E-2</v>
      </c>
      <c r="P204" s="16">
        <f t="shared" si="32"/>
        <v>-3.3333333333334991E-2</v>
      </c>
      <c r="Q204" s="50">
        <f t="shared" si="33"/>
        <v>6.6666666666662877E-2</v>
      </c>
      <c r="R204" s="57">
        <f t="shared" si="34"/>
        <v>1.9333333333333425E-2</v>
      </c>
      <c r="S204" s="17">
        <f t="shared" si="27"/>
        <v>2.0333333333333425E-2</v>
      </c>
      <c r="T204" s="58">
        <f t="shared" si="35"/>
        <v>-3.9666666666666628E-2</v>
      </c>
    </row>
    <row r="205" spans="1:20">
      <c r="A205" s="25" t="s">
        <v>204</v>
      </c>
      <c r="B205" s="75">
        <v>43384.74664351852</v>
      </c>
      <c r="C205" s="29">
        <v>16.8</v>
      </c>
      <c r="D205" s="14">
        <v>16.899999999999999</v>
      </c>
      <c r="E205" s="30">
        <v>16.8</v>
      </c>
      <c r="F205" s="35">
        <v>0.71599999999999997</v>
      </c>
      <c r="G205" s="15">
        <v>0.71399999999999997</v>
      </c>
      <c r="H205" s="36">
        <v>0.77700000000000002</v>
      </c>
      <c r="I205" s="40">
        <f t="shared" si="28"/>
        <v>0.68252917786015943</v>
      </c>
      <c r="J205" s="29">
        <v>17683</v>
      </c>
      <c r="K205" s="14">
        <v>80310</v>
      </c>
      <c r="L205" s="30">
        <v>80310</v>
      </c>
      <c r="M205" s="40">
        <f t="shared" si="29"/>
        <v>16.833333333333332</v>
      </c>
      <c r="N205" s="44">
        <f t="shared" si="30"/>
        <v>0.73566666666666658</v>
      </c>
      <c r="O205" s="49">
        <f t="shared" si="31"/>
        <v>3.3333333333331439E-2</v>
      </c>
      <c r="P205" s="16">
        <f t="shared" si="32"/>
        <v>-6.666666666666643E-2</v>
      </c>
      <c r="Q205" s="50">
        <f t="shared" si="33"/>
        <v>3.3333333333331439E-2</v>
      </c>
      <c r="R205" s="57">
        <f t="shared" si="34"/>
        <v>1.966666666666661E-2</v>
      </c>
      <c r="S205" s="17">
        <f t="shared" si="27"/>
        <v>2.1666666666666612E-2</v>
      </c>
      <c r="T205" s="58">
        <f t="shared" si="35"/>
        <v>-4.1333333333333444E-2</v>
      </c>
    </row>
    <row r="206" spans="1:20">
      <c r="A206" s="25" t="s">
        <v>205</v>
      </c>
      <c r="B206" s="75">
        <v>43384.755543981482</v>
      </c>
      <c r="C206" s="29">
        <v>16.8</v>
      </c>
      <c r="D206" s="14">
        <v>16.899999999999999</v>
      </c>
      <c r="E206" s="30">
        <v>16.8</v>
      </c>
      <c r="F206" s="35">
        <v>0.71699999999999997</v>
      </c>
      <c r="G206" s="15">
        <v>0.71599999999999997</v>
      </c>
      <c r="H206" s="36">
        <v>0.77900000000000003</v>
      </c>
      <c r="I206" s="40">
        <f t="shared" si="28"/>
        <v>0.28491763677948234</v>
      </c>
      <c r="J206" s="29">
        <v>33478</v>
      </c>
      <c r="K206" s="14">
        <v>100000</v>
      </c>
      <c r="L206" s="30">
        <v>100000</v>
      </c>
      <c r="M206" s="40">
        <f t="shared" si="29"/>
        <v>16.833333333333332</v>
      </c>
      <c r="N206" s="44">
        <f t="shared" si="30"/>
        <v>0.73733333333333329</v>
      </c>
      <c r="O206" s="49">
        <f t="shared" si="31"/>
        <v>3.3333333333331439E-2</v>
      </c>
      <c r="P206" s="16">
        <f t="shared" si="32"/>
        <v>-6.666666666666643E-2</v>
      </c>
      <c r="Q206" s="50">
        <f t="shared" si="33"/>
        <v>3.3333333333331439E-2</v>
      </c>
      <c r="R206" s="57">
        <f t="shared" si="34"/>
        <v>2.0333333333333314E-2</v>
      </c>
      <c r="S206" s="17">
        <f t="shared" si="27"/>
        <v>2.1333333333333315E-2</v>
      </c>
      <c r="T206" s="58">
        <f t="shared" si="35"/>
        <v>-4.1666666666666741E-2</v>
      </c>
    </row>
    <row r="207" spans="1:20">
      <c r="A207" s="25" t="s">
        <v>206</v>
      </c>
      <c r="B207" s="75">
        <v>43384.764444444445</v>
      </c>
      <c r="C207" s="29">
        <v>16.8</v>
      </c>
      <c r="D207" s="14">
        <v>16.899999999999999</v>
      </c>
      <c r="E207" s="30">
        <v>16.8</v>
      </c>
      <c r="F207" s="35">
        <v>0.71499999999999997</v>
      </c>
      <c r="G207" s="15">
        <v>0.71399999999999997</v>
      </c>
      <c r="H207" s="36">
        <v>0.77700000000000002</v>
      </c>
      <c r="I207" s="40">
        <f t="shared" si="28"/>
        <v>7.6886645102129947E-3</v>
      </c>
      <c r="J207" s="29">
        <v>97711</v>
      </c>
      <c r="K207" s="14">
        <v>100000</v>
      </c>
      <c r="L207" s="30">
        <v>100000</v>
      </c>
      <c r="M207" s="40">
        <f t="shared" si="29"/>
        <v>16.833333333333332</v>
      </c>
      <c r="N207" s="44">
        <f t="shared" si="30"/>
        <v>0.73533333333333328</v>
      </c>
      <c r="O207" s="49">
        <f t="shared" si="31"/>
        <v>3.3333333333331439E-2</v>
      </c>
      <c r="P207" s="16">
        <f t="shared" si="32"/>
        <v>-6.666666666666643E-2</v>
      </c>
      <c r="Q207" s="50">
        <f t="shared" si="33"/>
        <v>3.3333333333331439E-2</v>
      </c>
      <c r="R207" s="57">
        <f t="shared" si="34"/>
        <v>2.0333333333333314E-2</v>
      </c>
      <c r="S207" s="17">
        <f t="shared" si="27"/>
        <v>2.1333333333333315E-2</v>
      </c>
      <c r="T207" s="58">
        <f t="shared" si="35"/>
        <v>-4.1666666666666741E-2</v>
      </c>
    </row>
    <row r="208" spans="1:20">
      <c r="A208" s="26" t="s">
        <v>207</v>
      </c>
      <c r="B208" s="76">
        <v>43384.773344907408</v>
      </c>
      <c r="C208" s="31">
        <v>16.8</v>
      </c>
      <c r="D208" s="18">
        <v>16.899999999999999</v>
      </c>
      <c r="E208" s="32">
        <v>16.8</v>
      </c>
      <c r="F208" s="37">
        <v>0.71699999999999997</v>
      </c>
      <c r="G208" s="19">
        <v>0.71599999999999997</v>
      </c>
      <c r="H208" s="38">
        <v>0.78100000000000003</v>
      </c>
      <c r="I208" s="41">
        <f t="shared" si="28"/>
        <v>0</v>
      </c>
      <c r="J208" s="31">
        <v>100000</v>
      </c>
      <c r="K208" s="18">
        <v>100000</v>
      </c>
      <c r="L208" s="32">
        <v>100000</v>
      </c>
      <c r="M208" s="41">
        <f t="shared" si="29"/>
        <v>16.833333333333332</v>
      </c>
      <c r="N208" s="45">
        <f t="shared" si="30"/>
        <v>0.73799999999999999</v>
      </c>
      <c r="O208" s="51">
        <f t="shared" si="31"/>
        <v>3.3333333333331439E-2</v>
      </c>
      <c r="P208" s="20">
        <f t="shared" si="32"/>
        <v>-6.666666666666643E-2</v>
      </c>
      <c r="Q208" s="52">
        <f t="shared" si="33"/>
        <v>3.3333333333331439E-2</v>
      </c>
      <c r="R208" s="59">
        <f t="shared" si="34"/>
        <v>2.1000000000000019E-2</v>
      </c>
      <c r="S208" s="21">
        <f>N208-G208</f>
        <v>2.200000000000002E-2</v>
      </c>
      <c r="T208" s="60">
        <f t="shared" si="35"/>
        <v>-4.3000000000000038E-2</v>
      </c>
    </row>
    <row r="209" spans="1:21">
      <c r="A209" t="s">
        <v>208</v>
      </c>
      <c r="B209" t="s">
        <v>208</v>
      </c>
      <c r="C209" s="1"/>
      <c r="D209" s="1"/>
      <c r="E209" s="1"/>
      <c r="F209" s="2"/>
      <c r="G209" s="2"/>
      <c r="H209" s="2"/>
      <c r="I209" s="1"/>
      <c r="J209" s="1"/>
      <c r="K209" s="1"/>
      <c r="M209" s="42">
        <f>AVERAGE(M2:M208)</f>
        <v>16.301771336553934</v>
      </c>
      <c r="N209" s="46">
        <f>AVERAGE(N2:N208)</f>
        <v>0.73412721417069193</v>
      </c>
      <c r="O209" s="53">
        <f>AVERAGE(O2:O208)</f>
        <v>-6.441223832531032E-4</v>
      </c>
      <c r="P209" s="7">
        <f t="shared" ref="P209:Q209" si="36">AVERAGE(P2:P208)</f>
        <v>-7.745571658615158E-2</v>
      </c>
      <c r="Q209" s="54">
        <f t="shared" si="36"/>
        <v>7.8099838969403895E-2</v>
      </c>
      <c r="R209" s="61">
        <f>AVERAGE(R2:R208)</f>
        <v>4.2190016103059013E-4</v>
      </c>
      <c r="S209" s="8">
        <f t="shared" ref="S209:T209" si="37">AVERAGE(S2:S208)</f>
        <v>1.2238325281803533E-2</v>
      </c>
      <c r="T209" s="62">
        <f t="shared" si="37"/>
        <v>-1.2660225442834147E-2</v>
      </c>
      <c r="U209" s="4"/>
    </row>
    <row r="210" spans="1:21">
      <c r="B210" s="5">
        <f>B208-B2</f>
        <v>1.851805555554165</v>
      </c>
      <c r="C210" t="s">
        <v>236</v>
      </c>
      <c r="M210" s="9" t="s">
        <v>234</v>
      </c>
      <c r="N210" s="10" t="s">
        <v>233</v>
      </c>
      <c r="O210" s="10" t="s">
        <v>227</v>
      </c>
      <c r="P210" s="10" t="s">
        <v>228</v>
      </c>
      <c r="Q210" s="10" t="s">
        <v>229</v>
      </c>
      <c r="R210" s="10" t="s">
        <v>230</v>
      </c>
      <c r="S210" s="10" t="s">
        <v>231</v>
      </c>
      <c r="T210" s="11" t="s">
        <v>232</v>
      </c>
    </row>
    <row r="211" spans="1:21">
      <c r="B211" t="s">
        <v>235</v>
      </c>
      <c r="O211" s="6" t="s">
        <v>237</v>
      </c>
      <c r="P211" s="6"/>
      <c r="Q211" s="6"/>
      <c r="R211" s="6"/>
      <c r="S211" s="6"/>
      <c r="T211" s="6"/>
    </row>
  </sheetData>
  <mergeCells count="1">
    <mergeCell ref="O211:T211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85"/>
  <sheetViews>
    <sheetView zoomScaleNormal="100" workbookViewId="0">
      <selection activeCell="Q13" sqref="Q13"/>
    </sheetView>
  </sheetViews>
  <sheetFormatPr baseColWidth="10" defaultRowHeight="14.4"/>
  <sheetData>
    <row r="85" spans="1:1">
      <c r="A85" s="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4.4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 Konarski</cp:lastModifiedBy>
  <dcterms:created xsi:type="dcterms:W3CDTF">2018-09-04T11:52:28Z</dcterms:created>
  <dcterms:modified xsi:type="dcterms:W3CDTF">2018-10-11T14:00:51Z</dcterms:modified>
</cp:coreProperties>
</file>