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I3" i="1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2"/>
  <c r="K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L2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</calcChain>
</file>

<file path=xl/connections.xml><?xml version="1.0" encoding="utf-8"?>
<connections xmlns="http://schemas.openxmlformats.org/spreadsheetml/2006/main">
  <connection id="1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2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3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4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5" name="ThreeHourInterval" type="6" refreshedVersion="0" background="1">
    <textPr prompt="0" sourceFile="C:\Users\morit\Desktop\Results\ThreeHourInterval.txt" decimal="," thousands=".">
      <textFields>
        <textField/>
      </textFields>
    </textPr>
  </connection>
  <connection id="6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7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8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9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0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1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2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3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4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5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6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7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8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19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0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1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2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3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24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5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6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7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8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9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0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<sst xmlns="http://schemas.openxmlformats.org/spreadsheetml/2006/main" count="139" uniqueCount="135">
  <si>
    <t>Date Time,Temp 1,Temp 2,Temp 3,Hum 1,Hum 2,Hum 3,Light 1,Light 2,Light 3</t>
  </si>
  <si>
    <t>10/07/18 14:22:34,17.9,18.2,18.0,0.552,0.533,0.524,4945,2997,4162</t>
  </si>
  <si>
    <t>10/07/18 14:35:14,17.9,18.1,17.9,0.553,0.535,0.525,5410,3330,4741</t>
  </si>
  <si>
    <t>10/07/18 14:47:57,17.9,18.0,17.9,0.558,0.539,0.528,6099,3612,5243</t>
  </si>
  <si>
    <t>10/07/18 15:00:38,17.8,18.0,17.9,0.56,0.542,0.53,6540,3906,5802</t>
  </si>
  <si>
    <t>10/07/18 15:13:18,17.9,18.0,17.9,0.562,0.545,0.534,6769,4125,6113</t>
  </si>
  <si>
    <t>10/07/18 15:25:59,17.9,18.0,17.9,0.569,0.551,0.539,7634,4451,6835</t>
  </si>
  <si>
    <t>10/07/18 15:38:39,17.8,18.0,17.8,0.572,0.555,0.544,6161,3702,5394</t>
  </si>
  <si>
    <t>10/07/18 15:51:20,17.9,18.0,17.9,0.578,0.561,0.549,7643,4463,6653</t>
  </si>
  <si>
    <t>10/07/18 16:04:00,17.9,18.0,17.9,0.578,0.563,0.55,7747,4651,6885</t>
  </si>
  <si>
    <t>10/07/18 16:16:43,17.9,18.0,17.9,0.582,0.565,0.553,8272,4722,7193</t>
  </si>
  <si>
    <t>10/07/18 16:29:24,17.9,18.0,17.9,0.591,0.574,0.562,8391,4920,7487</t>
  </si>
  <si>
    <t>10/07/18 16:42:04,17.9,18.0,17.9,0.602,0.586,0.573,9345,5263,8232</t>
  </si>
  <si>
    <t>10/07/18 16:54:44,17.7,17.8,17.7,0.586,0.57,0.554,9167,5312,8339</t>
  </si>
  <si>
    <t>10/07/18 17:07:28,15.8,16.5,16.4,0.606,0.571,0.562,11478,6442,10439</t>
  </si>
  <si>
    <t>10/07/18 17:20:08,15.3,16.0,15.9,0.618,0.578,0.572,11100,6343,10169</t>
  </si>
  <si>
    <t>10/07/18 17:32:49,15.3,16.0,15.7,0.619,0.576,0.57,13433,7458,12535</t>
  </si>
  <si>
    <t>10/07/18 17:45:30,15.9,16.2,16.0,0.604,0.574,0.566,20744,12970,20443</t>
  </si>
  <si>
    <t>10/07/18 18:11:28,15.6,15.3,15.3,0.601,0.596,0.575,75905,40211,94174</t>
  </si>
  <si>
    <t>10/07/18 18:24:11,15.5,15.3,15.3,0.605,0.593,0.579,100000,100000,100000</t>
  </si>
  <si>
    <t>10/07/18 18:36:56,15.4,15.2,15.2,0.61,0.595,0.58,100000,100000,100000</t>
  </si>
  <si>
    <t>10/07/18 18:49:39,15.4,15.3,15.3,0.614,0.598,0.584,100000,100000,100000</t>
  </si>
  <si>
    <t>10/07/18 19:02:24,15.5,15.5,15.4,0.614,0.594,0.583,100000,100000,100000</t>
  </si>
  <si>
    <t>10/07/18 19:15:07,15.7,15.8,15.7,0.611,0.591,0.58,100000,100000,100000</t>
  </si>
  <si>
    <t>10/07/18 19:27:50,15.7,15.8,15.6,0.617,0.596,0.583,100000,100000,100000</t>
  </si>
  <si>
    <t>10/07/18 19:40:30,15.8,15.8,15.7,0.631,0.607,0.596,2214,1590,2052</t>
  </si>
  <si>
    <t>10/07/18 19:53:10,16.6,16.7,16.4,0.623,0.604,0.593,2278,1655,2153</t>
  </si>
  <si>
    <t>10/07/18 20:05:51,17.0,17.1,16.9,0.619,0.605,0.592,2010,1475,1899</t>
  </si>
  <si>
    <t>10/07/18 20:18:33,17.3,17.3,17.2,0.621,0.608,0.594,2046,1486,1938</t>
  </si>
  <si>
    <t>10/07/18 20:31:16,17.5,17.5,17.4,0.625,0.612,0.596,2091,1536,1989</t>
  </si>
  <si>
    <t>10/07/18 20:43:57,17.7,17.7,17.6,0.628,0.615,0.598,2066,1520,1981</t>
  </si>
  <si>
    <t>10/07/18 20:56:39,17.8,17.8,17.7,0.63,0.616,0.599,2005,1470,1924</t>
  </si>
  <si>
    <t>10/07/18 21:09:20,17.9,17.9,17.8,0.632,0.619,0.6,1989,1456,1846</t>
  </si>
  <si>
    <t>10/07/18 21:22:00,17.9,18.0,17.9,0.634,0.621,0.603,1927,1439,1845</t>
  </si>
  <si>
    <t>10/07/18 21:34:40,18.0,18.1,17.9,0.637,0.623,0.605,1909,1429,1828</t>
  </si>
  <si>
    <t>10/07/18 21:47:50,18.1,18.1,18.0,0.638,0.624,0.606,1855,1362,1729</t>
  </si>
  <si>
    <t>10/07/18 22:00:30,18.1,18.1,18.1,0.639,0.626,0.607,1990,1467,1862</t>
  </si>
  <si>
    <t>10/07/18 22:13:11,18.2,18.4,18.1,0.64,0.625,0.61,1963,1417,1841</t>
  </si>
  <si>
    <t>10/07/18 22:25:51,18.3,18.4,18.2,0.642,0.627,0.611,1825,1334,1690</t>
  </si>
  <si>
    <t>10/07/18 22:38:34,18.3,18.3,18.2,0.644,0.63,0.612,1857,1377,1761</t>
  </si>
  <si>
    <t>10/07/18 22:51:16,18.2,18.3,18.2,0.646,0.633,0.615,100000,100000,100000</t>
  </si>
  <si>
    <t>10/07/18 23:03:59,18.2,18.2,18.1,0.651,0.637,0.618,100000,100000,100000</t>
  </si>
  <si>
    <t>10/07/18 23:16:42,18.1,18.2,18.1,0.655,0.641,0.623,100000,100000,100000</t>
  </si>
  <si>
    <t>10/07/18 23:29:25,18.1,18.1,18.1,0.657,0.643,0.625,100000,100000,100000</t>
  </si>
  <si>
    <t>10/07/18 23:42:08,18.1,18.1,18.0,0.658,0.645,0.626,100000,100000,100000</t>
  </si>
  <si>
    <t>10/07/18 23:54:50,18.0,18.1,18.0,0.66,0.645,0.627,100000,100000,100000</t>
  </si>
  <si>
    <t>10/08/18 00:07:33,18.0,18.1,18.0,0.659,0.646,0.628,100000,100000,100000</t>
  </si>
  <si>
    <t>10/08/18 00:20:16,18.0,18.1,17.9,0.661,0.647,0.628,100000,100000,100000</t>
  </si>
  <si>
    <t>10/08/18 00:32:59,18.0,18.0,18.0,0.661,0.648,0.63,100000,100000,100000</t>
  </si>
  <si>
    <t>10/08/18 00:45:44,18.0,18.0,18.0,0.662,0.648,0.631,100000,100000,100000</t>
  </si>
  <si>
    <t>10/08/18 00:58:27,18.0,18.0,17.9,0.663,0.649,0.632,100000,100000,100000</t>
  </si>
  <si>
    <t>10/08/18 01:11:10,18.0,18.0,17.9,0.665,0.65,0.634,100000,100000,100000</t>
  </si>
  <si>
    <t>10/08/18 01:23:53,17.9,18.0,17.9,0.665,0.651,0.634,100000,100000,100000</t>
  </si>
  <si>
    <t>10/08/18 01:37:08,17.9,18.0,17.9,0.667,0.653,0.635,100000,100000,100000</t>
  </si>
  <si>
    <t>10/08/18 01:49:51,17.9,18.0,17.9,0.666,0.653,0.636,100000,100000,100000</t>
  </si>
  <si>
    <t>10/08/18 02:02:39,17.9,18.0,17.9,0.667,0.654,0.637,100000,100000,100000</t>
  </si>
  <si>
    <t>10/08/18 02:15:21,17.9,18.0,17.9,0.669,0.654,0.637,100000,100000,100000</t>
  </si>
  <si>
    <t>10/08/18 02:28:04,17.9,17.9,17.9,0.67,0.656,0.639,100000,100000,100000</t>
  </si>
  <si>
    <t>10/08/18 02:40:47,17.9,17.9,17.8,0.671,0.656,0.639,100000,100000,100000</t>
  </si>
  <si>
    <t>10/08/18 02:53:33,17.9,17.9,17.8,0.672,0.657,0.64,100000,100000,100000</t>
  </si>
  <si>
    <t>10/08/18 03:06:16,17.9,17.9,17.8,0.673,0.658,0.64,100000,100000,100000</t>
  </si>
  <si>
    <t>10/08/18 03:31:41,17.9,17.9,17.8,0.674,0.659,0.642,100000,100000,100000</t>
  </si>
  <si>
    <t>10/08/18 03:44:24,17.9,17.9,17.8,0.675,0.66,0.643,100000,100000,100000</t>
  </si>
  <si>
    <t>10/08/18 03:57:07,17.9,17.9,17.8,0.676,0.662,0.644,100000,100000,100000</t>
  </si>
  <si>
    <t>10/08/18 04:09:50,17.8,17.9,17.8,0.676,0.662,0.645,100000,100000,100000</t>
  </si>
  <si>
    <t>10/08/18 04:22:35,17.9,17.9,17.8,0.677,0.663,0.646,100000,100000,100000</t>
  </si>
  <si>
    <t>10/08/18 04:35:18,17.8,17.9,17.8,0.678,0.663,0.647,100000,100000,100000</t>
  </si>
  <si>
    <t>10/08/18 04:48:01,17.9,17.9,17.8,0.679,0.664,0.648,100000,100000,100000</t>
  </si>
  <si>
    <t>10/08/18 05:00:44,17.8,17.9,17.8,0.679,0.665,0.648,100000,100000,100000</t>
  </si>
  <si>
    <t>10/08/18 05:13:26,17.8,17.9,17.7,0.68,0.666,0.649,100000,100000,100000</t>
  </si>
  <si>
    <t>10/08/18 05:39:22,17.8,17.8,17.7,0.682,0.667,0.65,100000,100000,100000</t>
  </si>
  <si>
    <t>10/08/18 05:52:05,17.8,17.8,17.7,0.682,0.667,0.651,100000,100000,100000</t>
  </si>
  <si>
    <t>10/08/18 06:04:50,17.8,17.8,17.7,0.683,0.668,0.651,100000,100000,100000</t>
  </si>
  <si>
    <t>10/08/18 06:17:33,17.8,17.8,17.7,0.683,0.669,0.652,100000,100000,100000</t>
  </si>
  <si>
    <t>10/08/18 06:30:16,17.8,17.8,17.7,0.685,0.67,0.655,100000,100000,100000</t>
  </si>
  <si>
    <t>10/08/18 06:42:59,17.8,17.8,17.7,0.687,0.672,0.657,100000,100000,100000</t>
  </si>
  <si>
    <t>10/08/18 06:55:41,17.8,17.8,17.8,0.687,0.673,0.657,100000,100000,100000</t>
  </si>
  <si>
    <t>10/08/18 07:08:24,17.8,17.9,17.7,0.689,0.675,0.659,100000,100000,100000</t>
  </si>
  <si>
    <t>10/08/18 07:21:07,17.8,17.9,17.8,0.688,0.675,0.659,100000,72019,100000</t>
  </si>
  <si>
    <t>10/08/18 07:33:48,17.8,17.9,17.8,0.688,0.675,0.659,34034,16378,32595</t>
  </si>
  <si>
    <t>10/08/18 07:46:36,17.9,17.9,17.8,0.691,0.679,0.662,19630,12018,20010</t>
  </si>
  <si>
    <t>10/08/18 07:59:17,17.9,17.9,17.8,0.695,0.681,0.665,14289,9623,14975</t>
  </si>
  <si>
    <t>10/08/18 08:11:58,17.8,17.9,17.8,0.695,0.681,0.665,16474,9798,15601</t>
  </si>
  <si>
    <t>10/08/18 08:24:38,17.9,17.9,17.8,0.695,0.681,0.665,11932,8209,12331</t>
  </si>
  <si>
    <t>10/08/18 08:37:19,17.9,17.9,17.8,0.696,0.683,0.666,10587,7464,10586</t>
  </si>
  <si>
    <t>10/08/18 08:50:00,17.8,17.9,17.8,0.695,0.681,0.664,9081,6231,8756</t>
  </si>
  <si>
    <t>10/08/18 09:02:40,17.8,17.9,17.8,0.693,0.679,0.663,6359,4389,5711</t>
  </si>
  <si>
    <t>10/08/18 09:15:53,17.8,17.9,17.8,0.692,0.678,0.662,5325,3656,4850</t>
  </si>
  <si>
    <t>10/08/18 09:28:38,17.8,17.9,17.8,0.692,0.678,0.662,7046,4905,6718</t>
  </si>
  <si>
    <t>10/08/18 09:41:21,17.8,17.9,17.8,0.695,0.681,0.665,6259,4282,5777</t>
  </si>
  <si>
    <t>10/08/18 09:54:02,17.8,17.9,17.8,0.699,0.684,0.669,5751,3995,5275</t>
  </si>
  <si>
    <t>10/08/18 10:06:42,17.9,17.9,17.8,0.7,0.686,0.67,3794,2672,3345</t>
  </si>
  <si>
    <t>10/08/18 10:19:23,17.9,17.9,17.8,0.7,0.685,0.67,3946,2793,3520</t>
  </si>
  <si>
    <t>10/08/18 10:32:03,17.9,17.9,17.8,0.716,0.702,0.687,3287,2341,2892</t>
  </si>
  <si>
    <t>10/08/18 10:44:43,17.9,17.9,17.8,0.731,0.717,0.702,2516,1816,2188</t>
  </si>
  <si>
    <t>10/08/18 10:57:23,17.9,17.9,17.8,0.725,0.71,0.695,2257,1644,1971</t>
  </si>
  <si>
    <t>10/08/18 11:10:04,17.9,17.9,17.8,0.719,0.704,0.688,2106,1522,1810</t>
  </si>
  <si>
    <t>10/08/18 11:22:46,17.9,17.9,17.8,0.711,0.696,0.68,2531,1818,2209</t>
  </si>
  <si>
    <t>10/08/18 11:35:27,17.9,17.9,17.8,0.703,0.688,0.672,2203,1597,1897</t>
  </si>
  <si>
    <t>10/08/18 11:48:09,17.9,17.9,17.8,0.699,0.683,0.667,2116,1535,1817</t>
  </si>
  <si>
    <t>10/08/18 12:00:50,17.9,17.9,17.8,0.693,0.678,0.661,1973,1370,1679</t>
  </si>
  <si>
    <t>10/08/18 12:13:30,17.9,18.0,17.8,0.688,0.673,0.657,1967,1428,1684</t>
  </si>
  <si>
    <t>10/08/18 12:26:10,17.9,17.9,17.8,0.687,0.671,0.655,2090,1511,1796</t>
  </si>
  <si>
    <t>10/08/18 12:38:50,17.9,17.9,17.8,0.687,0.672,0.656,2308,1671,1951</t>
  </si>
  <si>
    <t>10/08/18 12:51:30,17.9,17.9,17.8,0.687,0.672,0.655,2411,1730,2057</t>
  </si>
  <si>
    <t>10/08/18 13:04:40,17.9,17.9,17.8,0.687,0.671,0.655,2237,1640,1958</t>
  </si>
  <si>
    <t>10/08/18 13:17:21,17.9,17.9,17.8,0.685,0.67,0.653,2751,2009,2425</t>
  </si>
  <si>
    <t>10/08/18 13:30:03,17.9,17.9,17.8,0.684,0.669,0.653,2925,2123,2613</t>
  </si>
  <si>
    <t>10/08/18 13:42:44,17.9,17.9,17.8,0.684,0.669,0.653,2694,1922,2353</t>
  </si>
  <si>
    <t>10/08/18 13:55:24,17.9,17.9,17.8,0.683,0.668,0.651,3000,2132,2612</t>
  </si>
  <si>
    <t>10/08/18 14:08:07,17.8,17.9,17.8,0.683,0.667,0.651,2254,1629,1943</t>
  </si>
  <si>
    <t>10/08/18 14:20:47,17.9,17.9,17.8,0.683,0.668,0.652,2238,1608,1931</t>
  </si>
  <si>
    <t>10/08/18 14:33:30,17.9,17.9,17.8,0.688,0.673,0.656,2191,1673,2014</t>
  </si>
  <si>
    <t>10/08/18 14:46:10,17.9,17.9,17.8,0.691,0.676,0.661,2567,1854,2248</t>
  </si>
  <si>
    <t>10/08/18 14:58:53,17.9,17.9,17.8,0.698,0.683,0.667,2707,1953,2362</t>
  </si>
  <si>
    <t>10/08/18 15:11:34,17.9,17.9,17.8,0.706,0.691,0.676,3315,2408,2942</t>
  </si>
  <si>
    <t>10/08/18 15:24:14,17.8,17.9,17.8,0.713,0.698,0.683,3337,2415,2984</t>
  </si>
  <si>
    <t>10/08/18 15:36:54,17.9,17.9,17.8,0.715,0.7,0.685,3018,2245,2749</t>
  </si>
  <si>
    <t>10/08/18 15:49:34,17.9,17.9,17.8,0.702,0.701,0.677,2923,2547,3343</t>
  </si>
  <si>
    <t>10/08/18 16:02:15,17.9,17.9,17.8,0.695,0.695,0.665,2927,2224,2665</t>
  </si>
  <si>
    <t>10/08/18 16:14:55,17.8,17.8,17.7,0.658,0.652,0.636,2813,2138,2554</t>
  </si>
  <si>
    <t>10/08/18 16:27:35,17.8,17.8,17.7,0.665,0.652,0.636,3397,2580,3127</t>
  </si>
  <si>
    <t>10/08/18 16:40:16,17.7,17.8,17.7,0.667,0.653,0.635,5032,3772,4853</t>
  </si>
  <si>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</si>
  <si>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</si>
  <si>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</si>
  <si>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</si>
  <si>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</si>
  <si>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</si>
  <si>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</si>
  <si>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</si>
  <si>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</si>
  <si>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</si>
  <si>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</si>
  <si>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Light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</si>
</sst>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Temp 1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Tabelle1!$C$2:$C$123</c:f>
              <c:numCache>
                <c:formatCode>0.0</c:formatCode>
                <c:ptCount val="122"/>
                <c:pt idx="0">
                  <c:v>17.899999999999999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</c:v>
                </c:pt>
                <c:pt idx="4">
                  <c:v>17.899999999999999</c:v>
                </c:pt>
                <c:pt idx="5">
                  <c:v>17.899999999999999</c:v>
                </c:pt>
                <c:pt idx="6">
                  <c:v>17.8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17.899999999999999</c:v>
                </c:pt>
                <c:pt idx="11">
                  <c:v>17.899999999999999</c:v>
                </c:pt>
                <c:pt idx="12">
                  <c:v>17.7</c:v>
                </c:pt>
                <c:pt idx="13">
                  <c:v>15.8</c:v>
                </c:pt>
                <c:pt idx="14">
                  <c:v>15.3</c:v>
                </c:pt>
                <c:pt idx="15">
                  <c:v>15.3</c:v>
                </c:pt>
                <c:pt idx="16">
                  <c:v>15.9</c:v>
                </c:pt>
                <c:pt idx="17">
                  <c:v>15.6</c:v>
                </c:pt>
                <c:pt idx="18">
                  <c:v>15.5</c:v>
                </c:pt>
                <c:pt idx="19">
                  <c:v>15.4</c:v>
                </c:pt>
                <c:pt idx="20">
                  <c:v>15.4</c:v>
                </c:pt>
                <c:pt idx="21">
                  <c:v>15.5</c:v>
                </c:pt>
                <c:pt idx="22">
                  <c:v>15.7</c:v>
                </c:pt>
                <c:pt idx="23">
                  <c:v>15.7</c:v>
                </c:pt>
                <c:pt idx="24">
                  <c:v>15.8</c:v>
                </c:pt>
                <c:pt idx="25">
                  <c:v>16.600000000000001</c:v>
                </c:pt>
                <c:pt idx="26">
                  <c:v>17</c:v>
                </c:pt>
                <c:pt idx="27">
                  <c:v>17.3</c:v>
                </c:pt>
                <c:pt idx="28">
                  <c:v>17.5</c:v>
                </c:pt>
                <c:pt idx="29">
                  <c:v>17.7</c:v>
                </c:pt>
                <c:pt idx="30">
                  <c:v>17.8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18</c:v>
                </c:pt>
                <c:pt idx="34">
                  <c:v>18.100000000000001</c:v>
                </c:pt>
                <c:pt idx="35">
                  <c:v>18.100000000000001</c:v>
                </c:pt>
                <c:pt idx="36">
                  <c:v>18.2</c:v>
                </c:pt>
                <c:pt idx="37">
                  <c:v>18.3</c:v>
                </c:pt>
                <c:pt idx="38">
                  <c:v>18.3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17.899999999999999</c:v>
                </c:pt>
                <c:pt idx="57">
                  <c:v>17.899999999999999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17.899999999999999</c:v>
                </c:pt>
                <c:pt idx="63">
                  <c:v>17.8</c:v>
                </c:pt>
                <c:pt idx="64">
                  <c:v>17.899999999999999</c:v>
                </c:pt>
                <c:pt idx="65">
                  <c:v>17.8</c:v>
                </c:pt>
                <c:pt idx="66">
                  <c:v>17.899999999999999</c:v>
                </c:pt>
                <c:pt idx="67">
                  <c:v>17.8</c:v>
                </c:pt>
                <c:pt idx="68">
                  <c:v>17.8</c:v>
                </c:pt>
                <c:pt idx="69">
                  <c:v>17.8</c:v>
                </c:pt>
                <c:pt idx="70">
                  <c:v>17.8</c:v>
                </c:pt>
                <c:pt idx="71">
                  <c:v>17.8</c:v>
                </c:pt>
                <c:pt idx="72">
                  <c:v>17.8</c:v>
                </c:pt>
                <c:pt idx="73">
                  <c:v>17.8</c:v>
                </c:pt>
                <c:pt idx="74">
                  <c:v>17.8</c:v>
                </c:pt>
                <c:pt idx="75">
                  <c:v>17.8</c:v>
                </c:pt>
                <c:pt idx="76">
                  <c:v>17.8</c:v>
                </c:pt>
                <c:pt idx="77">
                  <c:v>17.8</c:v>
                </c:pt>
                <c:pt idx="78">
                  <c:v>17.8</c:v>
                </c:pt>
                <c:pt idx="79">
                  <c:v>17.899999999999999</c:v>
                </c:pt>
                <c:pt idx="80">
                  <c:v>17.899999999999999</c:v>
                </c:pt>
                <c:pt idx="81">
                  <c:v>17.8</c:v>
                </c:pt>
                <c:pt idx="82">
                  <c:v>17.899999999999999</c:v>
                </c:pt>
                <c:pt idx="83">
                  <c:v>17.899999999999999</c:v>
                </c:pt>
                <c:pt idx="84">
                  <c:v>17.8</c:v>
                </c:pt>
                <c:pt idx="85">
                  <c:v>17.8</c:v>
                </c:pt>
                <c:pt idx="86">
                  <c:v>17.8</c:v>
                </c:pt>
                <c:pt idx="87">
                  <c:v>17.8</c:v>
                </c:pt>
                <c:pt idx="88">
                  <c:v>17.8</c:v>
                </c:pt>
                <c:pt idx="89">
                  <c:v>17.8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17.899999999999999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17.899999999999999</c:v>
                </c:pt>
                <c:pt idx="101">
                  <c:v>17.899999999999999</c:v>
                </c:pt>
                <c:pt idx="102">
                  <c:v>17.899999999999999</c:v>
                </c:pt>
                <c:pt idx="103">
                  <c:v>17.899999999999999</c:v>
                </c:pt>
                <c:pt idx="104">
                  <c:v>17.899999999999999</c:v>
                </c:pt>
                <c:pt idx="105">
                  <c:v>17.899999999999999</c:v>
                </c:pt>
                <c:pt idx="106">
                  <c:v>17.899999999999999</c:v>
                </c:pt>
                <c:pt idx="107">
                  <c:v>17.899999999999999</c:v>
                </c:pt>
                <c:pt idx="108">
                  <c:v>17.899999999999999</c:v>
                </c:pt>
                <c:pt idx="109">
                  <c:v>17.8</c:v>
                </c:pt>
                <c:pt idx="110">
                  <c:v>17.899999999999999</c:v>
                </c:pt>
                <c:pt idx="111">
                  <c:v>17.899999999999999</c:v>
                </c:pt>
                <c:pt idx="112">
                  <c:v>17.899999999999999</c:v>
                </c:pt>
                <c:pt idx="113">
                  <c:v>17.899999999999999</c:v>
                </c:pt>
                <c:pt idx="114">
                  <c:v>17.899999999999999</c:v>
                </c:pt>
                <c:pt idx="115">
                  <c:v>17.8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17.899999999999999</c:v>
                </c:pt>
                <c:pt idx="119">
                  <c:v>17.8</c:v>
                </c:pt>
                <c:pt idx="120">
                  <c:v>17.8</c:v>
                </c:pt>
                <c:pt idx="121">
                  <c:v>17.7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Tabelle1!$D$1</c:f>
              <c:strCache>
                <c:ptCount val="1"/>
                <c:pt idx="0">
                  <c:v>Temp 2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Tabelle1!$D$2:$D$123</c:f>
              <c:numCache>
                <c:formatCode>0.0</c:formatCode>
                <c:ptCount val="122"/>
                <c:pt idx="0">
                  <c:v>18.2</c:v>
                </c:pt>
                <c:pt idx="1">
                  <c:v>18.100000000000001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17.8</c:v>
                </c:pt>
                <c:pt idx="13">
                  <c:v>16.5</c:v>
                </c:pt>
                <c:pt idx="14">
                  <c:v>16</c:v>
                </c:pt>
                <c:pt idx="15">
                  <c:v>16</c:v>
                </c:pt>
                <c:pt idx="16">
                  <c:v>16.2</c:v>
                </c:pt>
                <c:pt idx="17">
                  <c:v>15.3</c:v>
                </c:pt>
                <c:pt idx="18">
                  <c:v>15.3</c:v>
                </c:pt>
                <c:pt idx="19">
                  <c:v>15.2</c:v>
                </c:pt>
                <c:pt idx="20">
                  <c:v>15.3</c:v>
                </c:pt>
                <c:pt idx="21">
                  <c:v>15.5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  <c:pt idx="25">
                  <c:v>16.7</c:v>
                </c:pt>
                <c:pt idx="26">
                  <c:v>17.100000000000001</c:v>
                </c:pt>
                <c:pt idx="27">
                  <c:v>17.3</c:v>
                </c:pt>
                <c:pt idx="28">
                  <c:v>17.5</c:v>
                </c:pt>
                <c:pt idx="29">
                  <c:v>17.7</c:v>
                </c:pt>
                <c:pt idx="30">
                  <c:v>17.8</c:v>
                </c:pt>
                <c:pt idx="31">
                  <c:v>17.899999999999999</c:v>
                </c:pt>
                <c:pt idx="32">
                  <c:v>18</c:v>
                </c:pt>
                <c:pt idx="33">
                  <c:v>18.100000000000001</c:v>
                </c:pt>
                <c:pt idx="34">
                  <c:v>18.100000000000001</c:v>
                </c:pt>
                <c:pt idx="35">
                  <c:v>18.100000000000001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18.3</c:v>
                </c:pt>
                <c:pt idx="40">
                  <c:v>18.2</c:v>
                </c:pt>
                <c:pt idx="41">
                  <c:v>18.2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17.899999999999999</c:v>
                </c:pt>
                <c:pt idx="57">
                  <c:v>17.899999999999999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17.899999999999999</c:v>
                </c:pt>
                <c:pt idx="63">
                  <c:v>17.899999999999999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17.899999999999999</c:v>
                </c:pt>
                <c:pt idx="67">
                  <c:v>17.899999999999999</c:v>
                </c:pt>
                <c:pt idx="68">
                  <c:v>17.899999999999999</c:v>
                </c:pt>
                <c:pt idx="69">
                  <c:v>17.8</c:v>
                </c:pt>
                <c:pt idx="70">
                  <c:v>17.8</c:v>
                </c:pt>
                <c:pt idx="71">
                  <c:v>17.8</c:v>
                </c:pt>
                <c:pt idx="72">
                  <c:v>17.8</c:v>
                </c:pt>
                <c:pt idx="73">
                  <c:v>17.8</c:v>
                </c:pt>
                <c:pt idx="74">
                  <c:v>17.8</c:v>
                </c:pt>
                <c:pt idx="75">
                  <c:v>17.8</c:v>
                </c:pt>
                <c:pt idx="76">
                  <c:v>17.899999999999999</c:v>
                </c:pt>
                <c:pt idx="77">
                  <c:v>17.899999999999999</c:v>
                </c:pt>
                <c:pt idx="78">
                  <c:v>17.899999999999999</c:v>
                </c:pt>
                <c:pt idx="79">
                  <c:v>17.899999999999999</c:v>
                </c:pt>
                <c:pt idx="80">
                  <c:v>17.899999999999999</c:v>
                </c:pt>
                <c:pt idx="81">
                  <c:v>17.899999999999999</c:v>
                </c:pt>
                <c:pt idx="82">
                  <c:v>17.899999999999999</c:v>
                </c:pt>
                <c:pt idx="83">
                  <c:v>17.899999999999999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17.899999999999999</c:v>
                </c:pt>
                <c:pt idx="88">
                  <c:v>17.899999999999999</c:v>
                </c:pt>
                <c:pt idx="89">
                  <c:v>17.899999999999999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17.899999999999999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18</c:v>
                </c:pt>
                <c:pt idx="101">
                  <c:v>17.899999999999999</c:v>
                </c:pt>
                <c:pt idx="102">
                  <c:v>17.899999999999999</c:v>
                </c:pt>
                <c:pt idx="103">
                  <c:v>17.899999999999999</c:v>
                </c:pt>
                <c:pt idx="104">
                  <c:v>17.899999999999999</c:v>
                </c:pt>
                <c:pt idx="105">
                  <c:v>17.899999999999999</c:v>
                </c:pt>
                <c:pt idx="106">
                  <c:v>17.899999999999999</c:v>
                </c:pt>
                <c:pt idx="107">
                  <c:v>17.899999999999999</c:v>
                </c:pt>
                <c:pt idx="108">
                  <c:v>17.899999999999999</c:v>
                </c:pt>
                <c:pt idx="109">
                  <c:v>17.899999999999999</c:v>
                </c:pt>
                <c:pt idx="110">
                  <c:v>17.899999999999999</c:v>
                </c:pt>
                <c:pt idx="111">
                  <c:v>17.899999999999999</c:v>
                </c:pt>
                <c:pt idx="112">
                  <c:v>17.899999999999999</c:v>
                </c:pt>
                <c:pt idx="113">
                  <c:v>17.899999999999999</c:v>
                </c:pt>
                <c:pt idx="114">
                  <c:v>17.899999999999999</c:v>
                </c:pt>
                <c:pt idx="115">
                  <c:v>17.899999999999999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17.899999999999999</c:v>
                </c:pt>
                <c:pt idx="119">
                  <c:v>17.8</c:v>
                </c:pt>
                <c:pt idx="120">
                  <c:v>17.8</c:v>
                </c:pt>
                <c:pt idx="121">
                  <c:v>17.8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Tabelle1!$E$1</c:f>
              <c:strCache>
                <c:ptCount val="1"/>
                <c:pt idx="0">
                  <c:v>Temp 3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Tabelle1!$E$2:$E$123</c:f>
              <c:numCache>
                <c:formatCode>0.0</c:formatCode>
                <c:ptCount val="122"/>
                <c:pt idx="0">
                  <c:v>18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17.899999999999999</c:v>
                </c:pt>
                <c:pt idx="4">
                  <c:v>17.899999999999999</c:v>
                </c:pt>
                <c:pt idx="5">
                  <c:v>17.899999999999999</c:v>
                </c:pt>
                <c:pt idx="6">
                  <c:v>17.8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17.899999999999999</c:v>
                </c:pt>
                <c:pt idx="11">
                  <c:v>17.899999999999999</c:v>
                </c:pt>
                <c:pt idx="12">
                  <c:v>17.7</c:v>
                </c:pt>
                <c:pt idx="13">
                  <c:v>16.399999999999999</c:v>
                </c:pt>
                <c:pt idx="14">
                  <c:v>15.9</c:v>
                </c:pt>
                <c:pt idx="15">
                  <c:v>15.7</c:v>
                </c:pt>
                <c:pt idx="16">
                  <c:v>16</c:v>
                </c:pt>
                <c:pt idx="17">
                  <c:v>15.3</c:v>
                </c:pt>
                <c:pt idx="18">
                  <c:v>15.3</c:v>
                </c:pt>
                <c:pt idx="19">
                  <c:v>15.2</c:v>
                </c:pt>
                <c:pt idx="20">
                  <c:v>15.3</c:v>
                </c:pt>
                <c:pt idx="21">
                  <c:v>15.4</c:v>
                </c:pt>
                <c:pt idx="22">
                  <c:v>15.7</c:v>
                </c:pt>
                <c:pt idx="23">
                  <c:v>15.6</c:v>
                </c:pt>
                <c:pt idx="24">
                  <c:v>15.7</c:v>
                </c:pt>
                <c:pt idx="25">
                  <c:v>16.399999999999999</c:v>
                </c:pt>
                <c:pt idx="26">
                  <c:v>16.899999999999999</c:v>
                </c:pt>
                <c:pt idx="27">
                  <c:v>17.2</c:v>
                </c:pt>
                <c:pt idx="28">
                  <c:v>17.399999999999999</c:v>
                </c:pt>
                <c:pt idx="29">
                  <c:v>17.600000000000001</c:v>
                </c:pt>
                <c:pt idx="30">
                  <c:v>17.7</c:v>
                </c:pt>
                <c:pt idx="31">
                  <c:v>17.8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18</c:v>
                </c:pt>
                <c:pt idx="35">
                  <c:v>18.100000000000001</c:v>
                </c:pt>
                <c:pt idx="36">
                  <c:v>18.100000000000001</c:v>
                </c:pt>
                <c:pt idx="37">
                  <c:v>18.2</c:v>
                </c:pt>
                <c:pt idx="38">
                  <c:v>18.2</c:v>
                </c:pt>
                <c:pt idx="39">
                  <c:v>18.2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17.899999999999999</c:v>
                </c:pt>
                <c:pt idx="47">
                  <c:v>18</c:v>
                </c:pt>
                <c:pt idx="48">
                  <c:v>18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17.899999999999999</c:v>
                </c:pt>
                <c:pt idx="57">
                  <c:v>17.8</c:v>
                </c:pt>
                <c:pt idx="58">
                  <c:v>17.8</c:v>
                </c:pt>
                <c:pt idx="59">
                  <c:v>17.8</c:v>
                </c:pt>
                <c:pt idx="60">
                  <c:v>17.8</c:v>
                </c:pt>
                <c:pt idx="61">
                  <c:v>17.8</c:v>
                </c:pt>
                <c:pt idx="62">
                  <c:v>17.8</c:v>
                </c:pt>
                <c:pt idx="63">
                  <c:v>17.8</c:v>
                </c:pt>
                <c:pt idx="64">
                  <c:v>17.8</c:v>
                </c:pt>
                <c:pt idx="65">
                  <c:v>17.8</c:v>
                </c:pt>
                <c:pt idx="66">
                  <c:v>17.8</c:v>
                </c:pt>
                <c:pt idx="67">
                  <c:v>17.8</c:v>
                </c:pt>
                <c:pt idx="68">
                  <c:v>17.7</c:v>
                </c:pt>
                <c:pt idx="69">
                  <c:v>17.7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17.7</c:v>
                </c:pt>
                <c:pt idx="74">
                  <c:v>17.7</c:v>
                </c:pt>
                <c:pt idx="75">
                  <c:v>17.8</c:v>
                </c:pt>
                <c:pt idx="76">
                  <c:v>17.7</c:v>
                </c:pt>
                <c:pt idx="77">
                  <c:v>17.8</c:v>
                </c:pt>
                <c:pt idx="78">
                  <c:v>17.8</c:v>
                </c:pt>
                <c:pt idx="79">
                  <c:v>17.8</c:v>
                </c:pt>
                <c:pt idx="80">
                  <c:v>17.8</c:v>
                </c:pt>
                <c:pt idx="81">
                  <c:v>17.8</c:v>
                </c:pt>
                <c:pt idx="82">
                  <c:v>17.8</c:v>
                </c:pt>
                <c:pt idx="83">
                  <c:v>17.8</c:v>
                </c:pt>
                <c:pt idx="84">
                  <c:v>17.8</c:v>
                </c:pt>
                <c:pt idx="85">
                  <c:v>17.8</c:v>
                </c:pt>
                <c:pt idx="86">
                  <c:v>17.8</c:v>
                </c:pt>
                <c:pt idx="87">
                  <c:v>17.8</c:v>
                </c:pt>
                <c:pt idx="88">
                  <c:v>17.8</c:v>
                </c:pt>
                <c:pt idx="89">
                  <c:v>17.8</c:v>
                </c:pt>
                <c:pt idx="90">
                  <c:v>17.8</c:v>
                </c:pt>
                <c:pt idx="91">
                  <c:v>17.8</c:v>
                </c:pt>
                <c:pt idx="92">
                  <c:v>17.8</c:v>
                </c:pt>
                <c:pt idx="93">
                  <c:v>17.8</c:v>
                </c:pt>
                <c:pt idx="94">
                  <c:v>17.8</c:v>
                </c:pt>
                <c:pt idx="95">
                  <c:v>17.8</c:v>
                </c:pt>
                <c:pt idx="96">
                  <c:v>17.8</c:v>
                </c:pt>
                <c:pt idx="97">
                  <c:v>17.8</c:v>
                </c:pt>
                <c:pt idx="98">
                  <c:v>17.8</c:v>
                </c:pt>
                <c:pt idx="99">
                  <c:v>17.8</c:v>
                </c:pt>
                <c:pt idx="100">
                  <c:v>17.8</c:v>
                </c:pt>
                <c:pt idx="101">
                  <c:v>17.8</c:v>
                </c:pt>
                <c:pt idx="102">
                  <c:v>17.8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</c:v>
                </c:pt>
                <c:pt idx="107">
                  <c:v>17.8</c:v>
                </c:pt>
                <c:pt idx="108">
                  <c:v>17.8</c:v>
                </c:pt>
                <c:pt idx="109">
                  <c:v>17.8</c:v>
                </c:pt>
                <c:pt idx="110">
                  <c:v>17.8</c:v>
                </c:pt>
                <c:pt idx="111">
                  <c:v>17.8</c:v>
                </c:pt>
                <c:pt idx="112">
                  <c:v>17.8</c:v>
                </c:pt>
                <c:pt idx="113">
                  <c:v>17.8</c:v>
                </c:pt>
                <c:pt idx="114">
                  <c:v>17.8</c:v>
                </c:pt>
                <c:pt idx="115">
                  <c:v>17.8</c:v>
                </c:pt>
                <c:pt idx="116">
                  <c:v>17.8</c:v>
                </c:pt>
                <c:pt idx="117">
                  <c:v>17.8</c:v>
                </c:pt>
                <c:pt idx="118">
                  <c:v>17.8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</c:numCache>
            </c:numRef>
          </c:yVal>
          <c:smooth val="1"/>
        </c:ser>
        <c:axId val="75699712"/>
        <c:axId val="75698176"/>
      </c:scatterChart>
      <c:scatterChart>
        <c:scatterStyle val="smoothMarker"/>
        <c:ser>
          <c:idx val="3"/>
          <c:order val="3"/>
          <c:tx>
            <c:strRef>
              <c:f>Tabelle1!$I$1</c:f>
              <c:strCache>
                <c:ptCount val="1"/>
                <c:pt idx="0">
                  <c:v>Light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Tabelle1!$I$2:$I$123</c:f>
              <c:numCache>
                <c:formatCode>0.0</c:formatCode>
                <c:ptCount val="122"/>
                <c:pt idx="0">
                  <c:v>24.872019029599873</c:v>
                </c:pt>
                <c:pt idx="1">
                  <c:v>22.202304961185781</c:v>
                </c:pt>
                <c:pt idx="2">
                  <c:v>20.051557698543558</c:v>
                </c:pt>
                <c:pt idx="3">
                  <c:v>18.375864813024126</c:v>
                </c:pt>
                <c:pt idx="4">
                  <c:v>17.458078407757586</c:v>
                </c:pt>
                <c:pt idx="5">
                  <c:v>15.732243975163396</c:v>
                </c:pt>
                <c:pt idx="6">
                  <c:v>19.594224854562256</c:v>
                </c:pt>
                <c:pt idx="7">
                  <c:v>15.840377938911054</c:v>
                </c:pt>
                <c:pt idx="8">
                  <c:v>15.311101104637807</c:v>
                </c:pt>
                <c:pt idx="9">
                  <c:v>14.722949048647752</c:v>
                </c:pt>
                <c:pt idx="10">
                  <c:v>14.199739504311452</c:v>
                </c:pt>
                <c:pt idx="11">
                  <c:v>12.949731941254488</c:v>
                </c:pt>
                <c:pt idx="12">
                  <c:v>12.908613659716471</c:v>
                </c:pt>
                <c:pt idx="13">
                  <c:v>10.271636772177358</c:v>
                </c:pt>
                <c:pt idx="14">
                  <c:v>10.536076110680478</c:v>
                </c:pt>
                <c:pt idx="15">
                  <c:v>8.6101454969476787</c:v>
                </c:pt>
                <c:pt idx="16">
                  <c:v>4.8074737407469135</c:v>
                </c:pt>
                <c:pt idx="17">
                  <c:v>0.62206072562101378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51.264381189547308</c:v>
                </c:pt>
                <c:pt idx="25">
                  <c:v>49.255978465150655</c:v>
                </c:pt>
                <c:pt idx="26">
                  <c:v>55.73571610534718</c:v>
                </c:pt>
                <c:pt idx="27">
                  <c:v>54.92339784673063</c:v>
                </c:pt>
                <c:pt idx="28">
                  <c:v>53.401565061088007</c:v>
                </c:pt>
                <c:pt idx="29">
                  <c:v>53.890580005303526</c:v>
                </c:pt>
                <c:pt idx="30">
                  <c:v>55.625858193367982</c:v>
                </c:pt>
                <c:pt idx="31">
                  <c:v>56.709673492606385</c:v>
                </c:pt>
                <c:pt idx="32">
                  <c:v>57.529127078071106</c:v>
                </c:pt>
                <c:pt idx="33">
                  <c:v>58.022349438302548</c:v>
                </c:pt>
                <c:pt idx="34">
                  <c:v>60.722231599172304</c:v>
                </c:pt>
                <c:pt idx="35">
                  <c:v>56.374424973293891</c:v>
                </c:pt>
                <c:pt idx="36">
                  <c:v>57.610790173976213</c:v>
                </c:pt>
                <c:pt idx="37">
                  <c:v>61.976212307236992</c:v>
                </c:pt>
                <c:pt idx="38">
                  <c:v>60.085951506094084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0.12950749107874326</c:v>
                </c:pt>
                <c:pt idx="78">
                  <c:v>3.0373150194113405</c:v>
                </c:pt>
                <c:pt idx="79">
                  <c:v>5.1375322698217678</c:v>
                </c:pt>
                <c:pt idx="80">
                  <c:v>7.0226521386033038</c:v>
                </c:pt>
                <c:pt idx="81">
                  <c:v>6.5620604083074205</c:v>
                </c:pt>
                <c:pt idx="82">
                  <c:v>8.557406257939725</c:v>
                </c:pt>
                <c:pt idx="83">
                  <c:v>9.7632090441596393</c:v>
                </c:pt>
                <c:pt idx="84">
                  <c:v>11.827177154599703</c:v>
                </c:pt>
                <c:pt idx="85">
                  <c:v>17.673348213724715</c:v>
                </c:pt>
                <c:pt idx="86">
                  <c:v>21.250065672344476</c:v>
                </c:pt>
                <c:pt idx="87">
                  <c:v>15.488397336012209</c:v>
                </c:pt>
                <c:pt idx="88">
                  <c:v>17.880196243202001</c:v>
                </c:pt>
                <c:pt idx="89">
                  <c:v>19.458971794010548</c:v>
                </c:pt>
                <c:pt idx="90">
                  <c:v>30.225974116680717</c:v>
                </c:pt>
                <c:pt idx="91">
                  <c:v>28.85166823749914</c:v>
                </c:pt>
                <c:pt idx="92">
                  <c:v>34.905937437721995</c:v>
                </c:pt>
                <c:pt idx="93">
                  <c:v>45.838515466187516</c:v>
                </c:pt>
                <c:pt idx="94">
                  <c:v>50.956506488648898</c:v>
                </c:pt>
                <c:pt idx="95">
                  <c:v>55.145007313424031</c:v>
                </c:pt>
                <c:pt idx="96">
                  <c:v>45.594976089151594</c:v>
                </c:pt>
                <c:pt idx="97">
                  <c:v>52.574955631007569</c:v>
                </c:pt>
                <c:pt idx="98">
                  <c:v>54.813777421074526</c:v>
                </c:pt>
                <c:pt idx="99">
                  <c:v>60.078733132438323</c:v>
                </c:pt>
                <c:pt idx="100">
                  <c:v>59.083091627253395</c:v>
                </c:pt>
                <c:pt idx="101">
                  <c:v>55.569171373426741</c:v>
                </c:pt>
                <c:pt idx="102">
                  <c:v>50.475909049234581</c:v>
                </c:pt>
                <c:pt idx="103">
                  <c:v>48.2981736885367</c:v>
                </c:pt>
                <c:pt idx="104">
                  <c:v>51.250286535023918</c:v>
                </c:pt>
                <c:pt idx="105">
                  <c:v>41.454513132010156</c:v>
                </c:pt>
                <c:pt idx="106">
                  <c:v>38.853792541133039</c:v>
                </c:pt>
                <c:pt idx="107">
                  <c:v>42.882532904326879</c:v>
                </c:pt>
                <c:pt idx="108">
                  <c:v>38.507495911335596</c:v>
                </c:pt>
                <c:pt idx="109">
                  <c:v>51.406576810797908</c:v>
                </c:pt>
                <c:pt idx="110">
                  <c:v>51.886148743681794</c:v>
                </c:pt>
                <c:pt idx="111">
                  <c:v>50.688851929375545</c:v>
                </c:pt>
                <c:pt idx="112">
                  <c:v>44.792466028741458</c:v>
                </c:pt>
                <c:pt idx="113">
                  <c:v>42.493847647052249</c:v>
                </c:pt>
                <c:pt idx="114">
                  <c:v>34.228211462121777</c:v>
                </c:pt>
                <c:pt idx="115">
                  <c:v>33.962322699367142</c:v>
                </c:pt>
                <c:pt idx="116">
                  <c:v>37.018273444889935</c:v>
                </c:pt>
                <c:pt idx="117">
                  <c:v>33.462184968214245</c:v>
                </c:pt>
                <c:pt idx="118">
                  <c:v>37.884051553980939</c:v>
                </c:pt>
                <c:pt idx="119">
                  <c:v>39.49206275290976</c:v>
                </c:pt>
                <c:pt idx="120">
                  <c:v>32.392320734309408</c:v>
                </c:pt>
                <c:pt idx="121">
                  <c:v>21.329919835227237</c:v>
                </c:pt>
              </c:numCache>
            </c:numRef>
          </c:yVal>
          <c:smooth val="1"/>
        </c:ser>
        <c:axId val="185928320"/>
        <c:axId val="185926016"/>
      </c:scatterChart>
      <c:valAx>
        <c:axId val="75699712"/>
        <c:scaling>
          <c:orientation val="minMax"/>
        </c:scaling>
        <c:axPos val="b"/>
        <c:numFmt formatCode="dd/mm/yyyy\ hh:mm" sourceLinked="1"/>
        <c:tickLblPos val="nextTo"/>
        <c:crossAx val="75698176"/>
        <c:crosses val="autoZero"/>
        <c:crossBetween val="midCat"/>
      </c:valAx>
      <c:valAx>
        <c:axId val="75698176"/>
        <c:scaling>
          <c:orientation val="minMax"/>
        </c:scaling>
        <c:axPos val="l"/>
        <c:majorGridlines/>
        <c:numFmt formatCode="0.0" sourceLinked="1"/>
        <c:tickLblPos val="nextTo"/>
        <c:crossAx val="75699712"/>
        <c:crosses val="autoZero"/>
        <c:crossBetween val="midCat"/>
      </c:valAx>
      <c:valAx>
        <c:axId val="185926016"/>
        <c:scaling>
          <c:orientation val="minMax"/>
        </c:scaling>
        <c:axPos val="r"/>
        <c:numFmt formatCode="0.0" sourceLinked="1"/>
        <c:tickLblPos val="nextTo"/>
        <c:crossAx val="185928320"/>
        <c:crosses val="max"/>
        <c:crossBetween val="midCat"/>
      </c:valAx>
      <c:valAx>
        <c:axId val="185928320"/>
        <c:scaling>
          <c:orientation val="minMax"/>
        </c:scaling>
        <c:delete val="1"/>
        <c:axPos val="b"/>
        <c:numFmt formatCode="dd/mm/yyyy\ hh:mm" sourceLinked="1"/>
        <c:tickLblPos val="none"/>
        <c:crossAx val="185926016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Tabelle1!$F$1</c:f>
              <c:strCache>
                <c:ptCount val="1"/>
                <c:pt idx="0">
                  <c:v>Hum 1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Tabelle1!$F$2:$F$123</c:f>
              <c:numCache>
                <c:formatCode>0.0%</c:formatCode>
                <c:ptCount val="122"/>
                <c:pt idx="0">
                  <c:v>0.55200000000000005</c:v>
                </c:pt>
                <c:pt idx="1">
                  <c:v>0.55300000000000005</c:v>
                </c:pt>
                <c:pt idx="2">
                  <c:v>0.55800000000000005</c:v>
                </c:pt>
                <c:pt idx="3">
                  <c:v>0.56000000000000005</c:v>
                </c:pt>
                <c:pt idx="4">
                  <c:v>0.56200000000000006</c:v>
                </c:pt>
                <c:pt idx="5">
                  <c:v>0.56899999999999995</c:v>
                </c:pt>
                <c:pt idx="6">
                  <c:v>0.57199999999999995</c:v>
                </c:pt>
                <c:pt idx="7">
                  <c:v>0.57799999999999996</c:v>
                </c:pt>
                <c:pt idx="8">
                  <c:v>0.57799999999999996</c:v>
                </c:pt>
                <c:pt idx="9">
                  <c:v>0.58199999999999996</c:v>
                </c:pt>
                <c:pt idx="10">
                  <c:v>0.59099999999999997</c:v>
                </c:pt>
                <c:pt idx="11">
                  <c:v>0.60199999999999998</c:v>
                </c:pt>
                <c:pt idx="12">
                  <c:v>0.58599999999999997</c:v>
                </c:pt>
                <c:pt idx="13">
                  <c:v>0.60599999999999998</c:v>
                </c:pt>
                <c:pt idx="14">
                  <c:v>0.61799999999999999</c:v>
                </c:pt>
                <c:pt idx="15">
                  <c:v>0.61899999999999999</c:v>
                </c:pt>
                <c:pt idx="16">
                  <c:v>0.60399999999999998</c:v>
                </c:pt>
                <c:pt idx="17">
                  <c:v>0.60099999999999998</c:v>
                </c:pt>
                <c:pt idx="18">
                  <c:v>0.60499999999999998</c:v>
                </c:pt>
                <c:pt idx="19">
                  <c:v>0.61</c:v>
                </c:pt>
                <c:pt idx="20">
                  <c:v>0.61399999999999999</c:v>
                </c:pt>
                <c:pt idx="21">
                  <c:v>0.61399999999999999</c:v>
                </c:pt>
                <c:pt idx="22">
                  <c:v>0.61099999999999999</c:v>
                </c:pt>
                <c:pt idx="23">
                  <c:v>0.61699999999999999</c:v>
                </c:pt>
                <c:pt idx="24">
                  <c:v>0.63100000000000001</c:v>
                </c:pt>
                <c:pt idx="25">
                  <c:v>0.623</c:v>
                </c:pt>
                <c:pt idx="26">
                  <c:v>0.61899999999999999</c:v>
                </c:pt>
                <c:pt idx="27">
                  <c:v>0.621</c:v>
                </c:pt>
                <c:pt idx="28">
                  <c:v>0.625</c:v>
                </c:pt>
                <c:pt idx="29">
                  <c:v>0.628</c:v>
                </c:pt>
                <c:pt idx="30">
                  <c:v>0.63</c:v>
                </c:pt>
                <c:pt idx="31">
                  <c:v>0.63200000000000001</c:v>
                </c:pt>
                <c:pt idx="32">
                  <c:v>0.63400000000000001</c:v>
                </c:pt>
                <c:pt idx="33">
                  <c:v>0.63700000000000001</c:v>
                </c:pt>
                <c:pt idx="34">
                  <c:v>0.63800000000000001</c:v>
                </c:pt>
                <c:pt idx="35">
                  <c:v>0.63900000000000001</c:v>
                </c:pt>
                <c:pt idx="36">
                  <c:v>0.64</c:v>
                </c:pt>
                <c:pt idx="37">
                  <c:v>0.64200000000000002</c:v>
                </c:pt>
                <c:pt idx="38">
                  <c:v>0.64400000000000002</c:v>
                </c:pt>
                <c:pt idx="39">
                  <c:v>0.64600000000000002</c:v>
                </c:pt>
                <c:pt idx="40">
                  <c:v>0.65100000000000002</c:v>
                </c:pt>
                <c:pt idx="41">
                  <c:v>0.65500000000000003</c:v>
                </c:pt>
                <c:pt idx="42">
                  <c:v>0.65700000000000003</c:v>
                </c:pt>
                <c:pt idx="43">
                  <c:v>0.65800000000000003</c:v>
                </c:pt>
                <c:pt idx="44">
                  <c:v>0.66</c:v>
                </c:pt>
                <c:pt idx="45">
                  <c:v>0.65900000000000003</c:v>
                </c:pt>
                <c:pt idx="46">
                  <c:v>0.66100000000000003</c:v>
                </c:pt>
                <c:pt idx="47">
                  <c:v>0.66100000000000003</c:v>
                </c:pt>
                <c:pt idx="48">
                  <c:v>0.66200000000000003</c:v>
                </c:pt>
                <c:pt idx="49">
                  <c:v>0.66300000000000003</c:v>
                </c:pt>
                <c:pt idx="50">
                  <c:v>0.66500000000000004</c:v>
                </c:pt>
                <c:pt idx="51">
                  <c:v>0.66500000000000004</c:v>
                </c:pt>
                <c:pt idx="52">
                  <c:v>0.66700000000000004</c:v>
                </c:pt>
                <c:pt idx="53">
                  <c:v>0.66600000000000004</c:v>
                </c:pt>
                <c:pt idx="54">
                  <c:v>0.66700000000000004</c:v>
                </c:pt>
                <c:pt idx="55">
                  <c:v>0.66900000000000004</c:v>
                </c:pt>
                <c:pt idx="56">
                  <c:v>0.67</c:v>
                </c:pt>
                <c:pt idx="57">
                  <c:v>0.67100000000000004</c:v>
                </c:pt>
                <c:pt idx="58">
                  <c:v>0.67200000000000004</c:v>
                </c:pt>
                <c:pt idx="59">
                  <c:v>0.67300000000000004</c:v>
                </c:pt>
                <c:pt idx="60">
                  <c:v>0.67400000000000004</c:v>
                </c:pt>
                <c:pt idx="61">
                  <c:v>0.67500000000000004</c:v>
                </c:pt>
                <c:pt idx="62">
                  <c:v>0.67600000000000005</c:v>
                </c:pt>
                <c:pt idx="63">
                  <c:v>0.67600000000000005</c:v>
                </c:pt>
                <c:pt idx="64">
                  <c:v>0.67700000000000005</c:v>
                </c:pt>
                <c:pt idx="65">
                  <c:v>0.67800000000000005</c:v>
                </c:pt>
                <c:pt idx="66">
                  <c:v>0.67900000000000005</c:v>
                </c:pt>
                <c:pt idx="67">
                  <c:v>0.67900000000000005</c:v>
                </c:pt>
                <c:pt idx="68">
                  <c:v>0.68</c:v>
                </c:pt>
                <c:pt idx="69">
                  <c:v>0.68200000000000005</c:v>
                </c:pt>
                <c:pt idx="70">
                  <c:v>0.68200000000000005</c:v>
                </c:pt>
                <c:pt idx="71">
                  <c:v>0.68300000000000005</c:v>
                </c:pt>
                <c:pt idx="72">
                  <c:v>0.68300000000000005</c:v>
                </c:pt>
                <c:pt idx="73">
                  <c:v>0.68500000000000005</c:v>
                </c:pt>
                <c:pt idx="74">
                  <c:v>0.68700000000000006</c:v>
                </c:pt>
                <c:pt idx="75">
                  <c:v>0.68700000000000006</c:v>
                </c:pt>
                <c:pt idx="76">
                  <c:v>0.68899999999999995</c:v>
                </c:pt>
                <c:pt idx="77">
                  <c:v>0.68799999999999994</c:v>
                </c:pt>
                <c:pt idx="78">
                  <c:v>0.68799999999999994</c:v>
                </c:pt>
                <c:pt idx="79">
                  <c:v>0.69099999999999995</c:v>
                </c:pt>
                <c:pt idx="80">
                  <c:v>0.69499999999999995</c:v>
                </c:pt>
                <c:pt idx="81">
                  <c:v>0.69499999999999995</c:v>
                </c:pt>
                <c:pt idx="82">
                  <c:v>0.69499999999999995</c:v>
                </c:pt>
                <c:pt idx="83">
                  <c:v>0.69599999999999995</c:v>
                </c:pt>
                <c:pt idx="84">
                  <c:v>0.69499999999999995</c:v>
                </c:pt>
                <c:pt idx="85">
                  <c:v>0.69299999999999995</c:v>
                </c:pt>
                <c:pt idx="86">
                  <c:v>0.69199999999999995</c:v>
                </c:pt>
                <c:pt idx="87">
                  <c:v>0.69199999999999995</c:v>
                </c:pt>
                <c:pt idx="88">
                  <c:v>0.69499999999999995</c:v>
                </c:pt>
                <c:pt idx="89">
                  <c:v>0.69899999999999995</c:v>
                </c:pt>
                <c:pt idx="90">
                  <c:v>0.7</c:v>
                </c:pt>
                <c:pt idx="91">
                  <c:v>0.7</c:v>
                </c:pt>
                <c:pt idx="92">
                  <c:v>0.71599999999999997</c:v>
                </c:pt>
                <c:pt idx="93">
                  <c:v>0.73099999999999998</c:v>
                </c:pt>
                <c:pt idx="94">
                  <c:v>0.72499999999999998</c:v>
                </c:pt>
                <c:pt idx="95">
                  <c:v>0.71899999999999997</c:v>
                </c:pt>
                <c:pt idx="96">
                  <c:v>0.71099999999999997</c:v>
                </c:pt>
                <c:pt idx="97">
                  <c:v>0.70299999999999996</c:v>
                </c:pt>
                <c:pt idx="98">
                  <c:v>0.69899999999999995</c:v>
                </c:pt>
                <c:pt idx="99">
                  <c:v>0.69299999999999995</c:v>
                </c:pt>
                <c:pt idx="100">
                  <c:v>0.68799999999999994</c:v>
                </c:pt>
                <c:pt idx="101">
                  <c:v>0.68700000000000006</c:v>
                </c:pt>
                <c:pt idx="102">
                  <c:v>0.68700000000000006</c:v>
                </c:pt>
                <c:pt idx="103">
                  <c:v>0.68700000000000006</c:v>
                </c:pt>
                <c:pt idx="104">
                  <c:v>0.68700000000000006</c:v>
                </c:pt>
                <c:pt idx="105">
                  <c:v>0.68500000000000005</c:v>
                </c:pt>
                <c:pt idx="106">
                  <c:v>0.68400000000000005</c:v>
                </c:pt>
                <c:pt idx="107">
                  <c:v>0.68400000000000005</c:v>
                </c:pt>
                <c:pt idx="108">
                  <c:v>0.68300000000000005</c:v>
                </c:pt>
                <c:pt idx="109">
                  <c:v>0.68300000000000005</c:v>
                </c:pt>
                <c:pt idx="110">
                  <c:v>0.68300000000000005</c:v>
                </c:pt>
                <c:pt idx="111">
                  <c:v>0.68799999999999994</c:v>
                </c:pt>
                <c:pt idx="112">
                  <c:v>0.69099999999999995</c:v>
                </c:pt>
                <c:pt idx="113">
                  <c:v>0.69799999999999995</c:v>
                </c:pt>
                <c:pt idx="114">
                  <c:v>0.70599999999999996</c:v>
                </c:pt>
                <c:pt idx="115">
                  <c:v>0.71299999999999997</c:v>
                </c:pt>
                <c:pt idx="116">
                  <c:v>0.71499999999999997</c:v>
                </c:pt>
                <c:pt idx="117">
                  <c:v>0.70199999999999996</c:v>
                </c:pt>
                <c:pt idx="118">
                  <c:v>0.69499999999999995</c:v>
                </c:pt>
                <c:pt idx="119">
                  <c:v>0.65800000000000003</c:v>
                </c:pt>
                <c:pt idx="120">
                  <c:v>0.66500000000000004</c:v>
                </c:pt>
                <c:pt idx="121">
                  <c:v>0.66700000000000004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Tabelle1!$G$1</c:f>
              <c:strCache>
                <c:ptCount val="1"/>
                <c:pt idx="0">
                  <c:v>Hum 2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Tabelle1!$G$2:$G$123</c:f>
              <c:numCache>
                <c:formatCode>0.0%</c:formatCode>
                <c:ptCount val="122"/>
                <c:pt idx="0">
                  <c:v>0.53300000000000003</c:v>
                </c:pt>
                <c:pt idx="1">
                  <c:v>0.53500000000000003</c:v>
                </c:pt>
                <c:pt idx="2">
                  <c:v>0.53900000000000003</c:v>
                </c:pt>
                <c:pt idx="3">
                  <c:v>0.54200000000000004</c:v>
                </c:pt>
                <c:pt idx="4">
                  <c:v>0.54500000000000004</c:v>
                </c:pt>
                <c:pt idx="5">
                  <c:v>0.55100000000000005</c:v>
                </c:pt>
                <c:pt idx="6">
                  <c:v>0.55500000000000005</c:v>
                </c:pt>
                <c:pt idx="7">
                  <c:v>0.56100000000000005</c:v>
                </c:pt>
                <c:pt idx="8">
                  <c:v>0.56299999999999994</c:v>
                </c:pt>
                <c:pt idx="9">
                  <c:v>0.56499999999999995</c:v>
                </c:pt>
                <c:pt idx="10">
                  <c:v>0.57399999999999995</c:v>
                </c:pt>
                <c:pt idx="11">
                  <c:v>0.58599999999999997</c:v>
                </c:pt>
                <c:pt idx="12">
                  <c:v>0.56999999999999995</c:v>
                </c:pt>
                <c:pt idx="13">
                  <c:v>0.57099999999999995</c:v>
                </c:pt>
                <c:pt idx="14">
                  <c:v>0.57799999999999996</c:v>
                </c:pt>
                <c:pt idx="15">
                  <c:v>0.57599999999999996</c:v>
                </c:pt>
                <c:pt idx="16">
                  <c:v>0.57399999999999995</c:v>
                </c:pt>
                <c:pt idx="17">
                  <c:v>0.59599999999999997</c:v>
                </c:pt>
                <c:pt idx="18">
                  <c:v>0.59299999999999997</c:v>
                </c:pt>
                <c:pt idx="19">
                  <c:v>0.59499999999999997</c:v>
                </c:pt>
                <c:pt idx="20">
                  <c:v>0.59799999999999998</c:v>
                </c:pt>
                <c:pt idx="21">
                  <c:v>0.59399999999999997</c:v>
                </c:pt>
                <c:pt idx="22">
                  <c:v>0.59099999999999997</c:v>
                </c:pt>
                <c:pt idx="23">
                  <c:v>0.59599999999999997</c:v>
                </c:pt>
                <c:pt idx="24">
                  <c:v>0.60699999999999998</c:v>
                </c:pt>
                <c:pt idx="25">
                  <c:v>0.60399999999999998</c:v>
                </c:pt>
                <c:pt idx="26">
                  <c:v>0.60499999999999998</c:v>
                </c:pt>
                <c:pt idx="27">
                  <c:v>0.60799999999999998</c:v>
                </c:pt>
                <c:pt idx="28">
                  <c:v>0.61199999999999999</c:v>
                </c:pt>
                <c:pt idx="29">
                  <c:v>0.61499999999999999</c:v>
                </c:pt>
                <c:pt idx="30">
                  <c:v>0.61599999999999999</c:v>
                </c:pt>
                <c:pt idx="31">
                  <c:v>0.61899999999999999</c:v>
                </c:pt>
                <c:pt idx="32">
                  <c:v>0.621</c:v>
                </c:pt>
                <c:pt idx="33">
                  <c:v>0.623</c:v>
                </c:pt>
                <c:pt idx="34">
                  <c:v>0.624</c:v>
                </c:pt>
                <c:pt idx="35">
                  <c:v>0.626</c:v>
                </c:pt>
                <c:pt idx="36">
                  <c:v>0.625</c:v>
                </c:pt>
                <c:pt idx="37">
                  <c:v>0.627</c:v>
                </c:pt>
                <c:pt idx="38">
                  <c:v>0.63</c:v>
                </c:pt>
                <c:pt idx="39">
                  <c:v>0.63300000000000001</c:v>
                </c:pt>
                <c:pt idx="40">
                  <c:v>0.63700000000000001</c:v>
                </c:pt>
                <c:pt idx="41">
                  <c:v>0.64100000000000001</c:v>
                </c:pt>
                <c:pt idx="42">
                  <c:v>0.64300000000000002</c:v>
                </c:pt>
                <c:pt idx="43">
                  <c:v>0.64500000000000002</c:v>
                </c:pt>
                <c:pt idx="44">
                  <c:v>0.64500000000000002</c:v>
                </c:pt>
                <c:pt idx="45">
                  <c:v>0.64600000000000002</c:v>
                </c:pt>
                <c:pt idx="46">
                  <c:v>0.64700000000000002</c:v>
                </c:pt>
                <c:pt idx="47">
                  <c:v>0.64800000000000002</c:v>
                </c:pt>
                <c:pt idx="48">
                  <c:v>0.64800000000000002</c:v>
                </c:pt>
                <c:pt idx="49">
                  <c:v>0.64900000000000002</c:v>
                </c:pt>
                <c:pt idx="50">
                  <c:v>0.65</c:v>
                </c:pt>
                <c:pt idx="51">
                  <c:v>0.65100000000000002</c:v>
                </c:pt>
                <c:pt idx="52">
                  <c:v>0.65300000000000002</c:v>
                </c:pt>
                <c:pt idx="53">
                  <c:v>0.65300000000000002</c:v>
                </c:pt>
                <c:pt idx="54">
                  <c:v>0.65400000000000003</c:v>
                </c:pt>
                <c:pt idx="55">
                  <c:v>0.65400000000000003</c:v>
                </c:pt>
                <c:pt idx="56">
                  <c:v>0.65600000000000003</c:v>
                </c:pt>
                <c:pt idx="57">
                  <c:v>0.65600000000000003</c:v>
                </c:pt>
                <c:pt idx="58">
                  <c:v>0.65700000000000003</c:v>
                </c:pt>
                <c:pt idx="59">
                  <c:v>0.65800000000000003</c:v>
                </c:pt>
                <c:pt idx="60">
                  <c:v>0.65900000000000003</c:v>
                </c:pt>
                <c:pt idx="61">
                  <c:v>0.66</c:v>
                </c:pt>
                <c:pt idx="62">
                  <c:v>0.66200000000000003</c:v>
                </c:pt>
                <c:pt idx="63">
                  <c:v>0.66200000000000003</c:v>
                </c:pt>
                <c:pt idx="64">
                  <c:v>0.66300000000000003</c:v>
                </c:pt>
                <c:pt idx="65">
                  <c:v>0.66300000000000003</c:v>
                </c:pt>
                <c:pt idx="66">
                  <c:v>0.66400000000000003</c:v>
                </c:pt>
                <c:pt idx="67">
                  <c:v>0.66500000000000004</c:v>
                </c:pt>
                <c:pt idx="68">
                  <c:v>0.66600000000000004</c:v>
                </c:pt>
                <c:pt idx="69">
                  <c:v>0.66700000000000004</c:v>
                </c:pt>
                <c:pt idx="70">
                  <c:v>0.66700000000000004</c:v>
                </c:pt>
                <c:pt idx="71">
                  <c:v>0.66800000000000004</c:v>
                </c:pt>
                <c:pt idx="72">
                  <c:v>0.66900000000000004</c:v>
                </c:pt>
                <c:pt idx="73">
                  <c:v>0.67</c:v>
                </c:pt>
                <c:pt idx="74">
                  <c:v>0.67200000000000004</c:v>
                </c:pt>
                <c:pt idx="75">
                  <c:v>0.67300000000000004</c:v>
                </c:pt>
                <c:pt idx="76">
                  <c:v>0.67500000000000004</c:v>
                </c:pt>
                <c:pt idx="77">
                  <c:v>0.67500000000000004</c:v>
                </c:pt>
                <c:pt idx="78">
                  <c:v>0.67500000000000004</c:v>
                </c:pt>
                <c:pt idx="79">
                  <c:v>0.67900000000000005</c:v>
                </c:pt>
                <c:pt idx="80">
                  <c:v>0.68100000000000005</c:v>
                </c:pt>
                <c:pt idx="81">
                  <c:v>0.68100000000000005</c:v>
                </c:pt>
                <c:pt idx="82">
                  <c:v>0.68100000000000005</c:v>
                </c:pt>
                <c:pt idx="83">
                  <c:v>0.68300000000000005</c:v>
                </c:pt>
                <c:pt idx="84">
                  <c:v>0.68100000000000005</c:v>
                </c:pt>
                <c:pt idx="85">
                  <c:v>0.67900000000000005</c:v>
                </c:pt>
                <c:pt idx="86">
                  <c:v>0.67800000000000005</c:v>
                </c:pt>
                <c:pt idx="87">
                  <c:v>0.67800000000000005</c:v>
                </c:pt>
                <c:pt idx="88">
                  <c:v>0.68100000000000005</c:v>
                </c:pt>
                <c:pt idx="89">
                  <c:v>0.68400000000000005</c:v>
                </c:pt>
                <c:pt idx="90">
                  <c:v>0.68600000000000005</c:v>
                </c:pt>
                <c:pt idx="91">
                  <c:v>0.68500000000000005</c:v>
                </c:pt>
                <c:pt idx="92">
                  <c:v>0.70199999999999996</c:v>
                </c:pt>
                <c:pt idx="93">
                  <c:v>0.71699999999999997</c:v>
                </c:pt>
                <c:pt idx="94">
                  <c:v>0.71</c:v>
                </c:pt>
                <c:pt idx="95">
                  <c:v>0.70399999999999996</c:v>
                </c:pt>
                <c:pt idx="96">
                  <c:v>0.69599999999999995</c:v>
                </c:pt>
                <c:pt idx="97">
                  <c:v>0.68799999999999994</c:v>
                </c:pt>
                <c:pt idx="98">
                  <c:v>0.68300000000000005</c:v>
                </c:pt>
                <c:pt idx="99">
                  <c:v>0.67800000000000005</c:v>
                </c:pt>
                <c:pt idx="100">
                  <c:v>0.67300000000000004</c:v>
                </c:pt>
                <c:pt idx="101">
                  <c:v>0.67100000000000004</c:v>
                </c:pt>
                <c:pt idx="102">
                  <c:v>0.67200000000000004</c:v>
                </c:pt>
                <c:pt idx="103">
                  <c:v>0.67200000000000004</c:v>
                </c:pt>
                <c:pt idx="104">
                  <c:v>0.67100000000000004</c:v>
                </c:pt>
                <c:pt idx="105">
                  <c:v>0.67</c:v>
                </c:pt>
                <c:pt idx="106">
                  <c:v>0.66900000000000004</c:v>
                </c:pt>
                <c:pt idx="107">
                  <c:v>0.66900000000000004</c:v>
                </c:pt>
                <c:pt idx="108">
                  <c:v>0.66800000000000004</c:v>
                </c:pt>
                <c:pt idx="109">
                  <c:v>0.66700000000000004</c:v>
                </c:pt>
                <c:pt idx="110">
                  <c:v>0.66800000000000004</c:v>
                </c:pt>
                <c:pt idx="111">
                  <c:v>0.67300000000000004</c:v>
                </c:pt>
                <c:pt idx="112">
                  <c:v>0.67600000000000005</c:v>
                </c:pt>
                <c:pt idx="113">
                  <c:v>0.68300000000000005</c:v>
                </c:pt>
                <c:pt idx="114">
                  <c:v>0.69099999999999995</c:v>
                </c:pt>
                <c:pt idx="115">
                  <c:v>0.69799999999999995</c:v>
                </c:pt>
                <c:pt idx="116">
                  <c:v>0.7</c:v>
                </c:pt>
                <c:pt idx="117">
                  <c:v>0.70099999999999996</c:v>
                </c:pt>
                <c:pt idx="118">
                  <c:v>0.69499999999999995</c:v>
                </c:pt>
                <c:pt idx="119">
                  <c:v>0.65200000000000002</c:v>
                </c:pt>
                <c:pt idx="120">
                  <c:v>0.65200000000000002</c:v>
                </c:pt>
                <c:pt idx="121">
                  <c:v>0.65300000000000002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Tabelle1!$H$1</c:f>
              <c:strCache>
                <c:ptCount val="1"/>
                <c:pt idx="0">
                  <c:v>Hum 3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Tabelle1!$H$2:$H$123</c:f>
              <c:numCache>
                <c:formatCode>0.0%</c:formatCode>
                <c:ptCount val="122"/>
                <c:pt idx="0">
                  <c:v>0.52400000000000002</c:v>
                </c:pt>
                <c:pt idx="1">
                  <c:v>0.52500000000000002</c:v>
                </c:pt>
                <c:pt idx="2">
                  <c:v>0.52800000000000002</c:v>
                </c:pt>
                <c:pt idx="3">
                  <c:v>0.53</c:v>
                </c:pt>
                <c:pt idx="4">
                  <c:v>0.53400000000000003</c:v>
                </c:pt>
                <c:pt idx="5">
                  <c:v>0.53900000000000003</c:v>
                </c:pt>
                <c:pt idx="6">
                  <c:v>0.54400000000000004</c:v>
                </c:pt>
                <c:pt idx="7">
                  <c:v>0.54900000000000004</c:v>
                </c:pt>
                <c:pt idx="8">
                  <c:v>0.55000000000000004</c:v>
                </c:pt>
                <c:pt idx="9">
                  <c:v>0.55300000000000005</c:v>
                </c:pt>
                <c:pt idx="10">
                  <c:v>0.56200000000000006</c:v>
                </c:pt>
                <c:pt idx="11">
                  <c:v>0.57299999999999995</c:v>
                </c:pt>
                <c:pt idx="12">
                  <c:v>0.55400000000000005</c:v>
                </c:pt>
                <c:pt idx="13">
                  <c:v>0.56200000000000006</c:v>
                </c:pt>
                <c:pt idx="14">
                  <c:v>0.57199999999999995</c:v>
                </c:pt>
                <c:pt idx="15">
                  <c:v>0.56999999999999995</c:v>
                </c:pt>
                <c:pt idx="16">
                  <c:v>0.56599999999999995</c:v>
                </c:pt>
                <c:pt idx="17">
                  <c:v>0.57499999999999996</c:v>
                </c:pt>
                <c:pt idx="18">
                  <c:v>0.57899999999999996</c:v>
                </c:pt>
                <c:pt idx="19">
                  <c:v>0.57999999999999996</c:v>
                </c:pt>
                <c:pt idx="20">
                  <c:v>0.58399999999999996</c:v>
                </c:pt>
                <c:pt idx="21">
                  <c:v>0.58299999999999996</c:v>
                </c:pt>
                <c:pt idx="22">
                  <c:v>0.57999999999999996</c:v>
                </c:pt>
                <c:pt idx="23">
                  <c:v>0.58299999999999996</c:v>
                </c:pt>
                <c:pt idx="24">
                  <c:v>0.59599999999999997</c:v>
                </c:pt>
                <c:pt idx="25">
                  <c:v>0.59299999999999997</c:v>
                </c:pt>
                <c:pt idx="26">
                  <c:v>0.59199999999999997</c:v>
                </c:pt>
                <c:pt idx="27">
                  <c:v>0.59399999999999997</c:v>
                </c:pt>
                <c:pt idx="28">
                  <c:v>0.59599999999999997</c:v>
                </c:pt>
                <c:pt idx="29">
                  <c:v>0.59799999999999998</c:v>
                </c:pt>
                <c:pt idx="30">
                  <c:v>0.59899999999999998</c:v>
                </c:pt>
                <c:pt idx="31">
                  <c:v>0.6</c:v>
                </c:pt>
                <c:pt idx="32">
                  <c:v>0.60299999999999998</c:v>
                </c:pt>
                <c:pt idx="33">
                  <c:v>0.60499999999999998</c:v>
                </c:pt>
                <c:pt idx="34">
                  <c:v>0.60599999999999998</c:v>
                </c:pt>
                <c:pt idx="35">
                  <c:v>0.60699999999999998</c:v>
                </c:pt>
                <c:pt idx="36">
                  <c:v>0.61</c:v>
                </c:pt>
                <c:pt idx="37">
                  <c:v>0.61099999999999999</c:v>
                </c:pt>
                <c:pt idx="38">
                  <c:v>0.61199999999999999</c:v>
                </c:pt>
                <c:pt idx="39">
                  <c:v>0.61499999999999999</c:v>
                </c:pt>
                <c:pt idx="40">
                  <c:v>0.61799999999999999</c:v>
                </c:pt>
                <c:pt idx="41">
                  <c:v>0.623</c:v>
                </c:pt>
                <c:pt idx="42">
                  <c:v>0.625</c:v>
                </c:pt>
                <c:pt idx="43">
                  <c:v>0.626</c:v>
                </c:pt>
                <c:pt idx="44">
                  <c:v>0.627</c:v>
                </c:pt>
                <c:pt idx="45">
                  <c:v>0.628</c:v>
                </c:pt>
                <c:pt idx="46">
                  <c:v>0.628</c:v>
                </c:pt>
                <c:pt idx="47">
                  <c:v>0.63</c:v>
                </c:pt>
                <c:pt idx="48">
                  <c:v>0.63100000000000001</c:v>
                </c:pt>
                <c:pt idx="49">
                  <c:v>0.63200000000000001</c:v>
                </c:pt>
                <c:pt idx="50">
                  <c:v>0.63400000000000001</c:v>
                </c:pt>
                <c:pt idx="51">
                  <c:v>0.63400000000000001</c:v>
                </c:pt>
                <c:pt idx="52">
                  <c:v>0.63500000000000001</c:v>
                </c:pt>
                <c:pt idx="53">
                  <c:v>0.63600000000000001</c:v>
                </c:pt>
                <c:pt idx="54">
                  <c:v>0.63700000000000001</c:v>
                </c:pt>
                <c:pt idx="55">
                  <c:v>0.63700000000000001</c:v>
                </c:pt>
                <c:pt idx="56">
                  <c:v>0.63900000000000001</c:v>
                </c:pt>
                <c:pt idx="57">
                  <c:v>0.63900000000000001</c:v>
                </c:pt>
                <c:pt idx="58">
                  <c:v>0.64</c:v>
                </c:pt>
                <c:pt idx="59">
                  <c:v>0.64</c:v>
                </c:pt>
                <c:pt idx="60">
                  <c:v>0.64200000000000002</c:v>
                </c:pt>
                <c:pt idx="61">
                  <c:v>0.64300000000000002</c:v>
                </c:pt>
                <c:pt idx="62">
                  <c:v>0.64400000000000002</c:v>
                </c:pt>
                <c:pt idx="63">
                  <c:v>0.64500000000000002</c:v>
                </c:pt>
                <c:pt idx="64">
                  <c:v>0.64600000000000002</c:v>
                </c:pt>
                <c:pt idx="65">
                  <c:v>0.64700000000000002</c:v>
                </c:pt>
                <c:pt idx="66">
                  <c:v>0.64800000000000002</c:v>
                </c:pt>
                <c:pt idx="67">
                  <c:v>0.64800000000000002</c:v>
                </c:pt>
                <c:pt idx="68">
                  <c:v>0.64900000000000002</c:v>
                </c:pt>
                <c:pt idx="69">
                  <c:v>0.65</c:v>
                </c:pt>
                <c:pt idx="70">
                  <c:v>0.65100000000000002</c:v>
                </c:pt>
                <c:pt idx="71">
                  <c:v>0.65100000000000002</c:v>
                </c:pt>
                <c:pt idx="72">
                  <c:v>0.65200000000000002</c:v>
                </c:pt>
                <c:pt idx="73">
                  <c:v>0.65500000000000003</c:v>
                </c:pt>
                <c:pt idx="74">
                  <c:v>0.65700000000000003</c:v>
                </c:pt>
                <c:pt idx="75">
                  <c:v>0.65700000000000003</c:v>
                </c:pt>
                <c:pt idx="76">
                  <c:v>0.65900000000000003</c:v>
                </c:pt>
                <c:pt idx="77">
                  <c:v>0.65900000000000003</c:v>
                </c:pt>
                <c:pt idx="78">
                  <c:v>0.65900000000000003</c:v>
                </c:pt>
                <c:pt idx="79">
                  <c:v>0.66200000000000003</c:v>
                </c:pt>
                <c:pt idx="80">
                  <c:v>0.66500000000000004</c:v>
                </c:pt>
                <c:pt idx="81">
                  <c:v>0.66500000000000004</c:v>
                </c:pt>
                <c:pt idx="82">
                  <c:v>0.66500000000000004</c:v>
                </c:pt>
                <c:pt idx="83">
                  <c:v>0.66600000000000004</c:v>
                </c:pt>
                <c:pt idx="84">
                  <c:v>0.66400000000000003</c:v>
                </c:pt>
                <c:pt idx="85">
                  <c:v>0.66300000000000003</c:v>
                </c:pt>
                <c:pt idx="86">
                  <c:v>0.66200000000000003</c:v>
                </c:pt>
                <c:pt idx="87">
                  <c:v>0.66200000000000003</c:v>
                </c:pt>
                <c:pt idx="88">
                  <c:v>0.66500000000000004</c:v>
                </c:pt>
                <c:pt idx="89">
                  <c:v>0.66900000000000004</c:v>
                </c:pt>
                <c:pt idx="90">
                  <c:v>0.67</c:v>
                </c:pt>
                <c:pt idx="91">
                  <c:v>0.67</c:v>
                </c:pt>
                <c:pt idx="92">
                  <c:v>0.68700000000000006</c:v>
                </c:pt>
                <c:pt idx="93">
                  <c:v>0.70199999999999996</c:v>
                </c:pt>
                <c:pt idx="94">
                  <c:v>0.69499999999999995</c:v>
                </c:pt>
                <c:pt idx="95">
                  <c:v>0.68799999999999994</c:v>
                </c:pt>
                <c:pt idx="96">
                  <c:v>0.68</c:v>
                </c:pt>
                <c:pt idx="97">
                  <c:v>0.67200000000000004</c:v>
                </c:pt>
                <c:pt idx="98">
                  <c:v>0.66700000000000004</c:v>
                </c:pt>
                <c:pt idx="99">
                  <c:v>0.66100000000000003</c:v>
                </c:pt>
                <c:pt idx="100">
                  <c:v>0.65700000000000003</c:v>
                </c:pt>
                <c:pt idx="101">
                  <c:v>0.65500000000000003</c:v>
                </c:pt>
                <c:pt idx="102">
                  <c:v>0.65600000000000003</c:v>
                </c:pt>
                <c:pt idx="103">
                  <c:v>0.65500000000000003</c:v>
                </c:pt>
                <c:pt idx="104">
                  <c:v>0.65500000000000003</c:v>
                </c:pt>
                <c:pt idx="105">
                  <c:v>0.65300000000000002</c:v>
                </c:pt>
                <c:pt idx="106">
                  <c:v>0.65300000000000002</c:v>
                </c:pt>
                <c:pt idx="107">
                  <c:v>0.65300000000000002</c:v>
                </c:pt>
                <c:pt idx="108">
                  <c:v>0.65100000000000002</c:v>
                </c:pt>
                <c:pt idx="109">
                  <c:v>0.65100000000000002</c:v>
                </c:pt>
                <c:pt idx="110">
                  <c:v>0.65200000000000002</c:v>
                </c:pt>
                <c:pt idx="111">
                  <c:v>0.65600000000000003</c:v>
                </c:pt>
                <c:pt idx="112">
                  <c:v>0.66100000000000003</c:v>
                </c:pt>
                <c:pt idx="113">
                  <c:v>0.66700000000000004</c:v>
                </c:pt>
                <c:pt idx="114">
                  <c:v>0.67600000000000005</c:v>
                </c:pt>
                <c:pt idx="115">
                  <c:v>0.68300000000000005</c:v>
                </c:pt>
                <c:pt idx="116">
                  <c:v>0.68500000000000005</c:v>
                </c:pt>
                <c:pt idx="117">
                  <c:v>0.67700000000000005</c:v>
                </c:pt>
                <c:pt idx="118">
                  <c:v>0.66500000000000004</c:v>
                </c:pt>
                <c:pt idx="119">
                  <c:v>0.63600000000000001</c:v>
                </c:pt>
                <c:pt idx="120">
                  <c:v>0.63600000000000001</c:v>
                </c:pt>
                <c:pt idx="121">
                  <c:v>0.63500000000000001</c:v>
                </c:pt>
              </c:numCache>
            </c:numRef>
          </c:yVal>
          <c:smooth val="1"/>
        </c:ser>
        <c:axId val="120885632"/>
        <c:axId val="120875264"/>
      </c:scatterChart>
      <c:scatterChart>
        <c:scatterStyle val="smoothMarker"/>
        <c:ser>
          <c:idx val="3"/>
          <c:order val="3"/>
          <c:tx>
            <c:strRef>
              <c:f>Tabelle1!$I$1</c:f>
              <c:strCache>
                <c:ptCount val="1"/>
                <c:pt idx="0">
                  <c:v>Light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Tabelle1!$I$2:$I$123</c:f>
              <c:numCache>
                <c:formatCode>0.0</c:formatCode>
                <c:ptCount val="122"/>
                <c:pt idx="0">
                  <c:v>24.872019029599873</c:v>
                </c:pt>
                <c:pt idx="1">
                  <c:v>22.202304961185781</c:v>
                </c:pt>
                <c:pt idx="2">
                  <c:v>20.051557698543558</c:v>
                </c:pt>
                <c:pt idx="3">
                  <c:v>18.375864813024126</c:v>
                </c:pt>
                <c:pt idx="4">
                  <c:v>17.458078407757586</c:v>
                </c:pt>
                <c:pt idx="5">
                  <c:v>15.732243975163396</c:v>
                </c:pt>
                <c:pt idx="6">
                  <c:v>19.594224854562256</c:v>
                </c:pt>
                <c:pt idx="7">
                  <c:v>15.840377938911054</c:v>
                </c:pt>
                <c:pt idx="8">
                  <c:v>15.311101104637807</c:v>
                </c:pt>
                <c:pt idx="9">
                  <c:v>14.722949048647752</c:v>
                </c:pt>
                <c:pt idx="10">
                  <c:v>14.199739504311452</c:v>
                </c:pt>
                <c:pt idx="11">
                  <c:v>12.949731941254488</c:v>
                </c:pt>
                <c:pt idx="12">
                  <c:v>12.908613659716471</c:v>
                </c:pt>
                <c:pt idx="13">
                  <c:v>10.271636772177358</c:v>
                </c:pt>
                <c:pt idx="14">
                  <c:v>10.536076110680478</c:v>
                </c:pt>
                <c:pt idx="15">
                  <c:v>8.6101454969476787</c:v>
                </c:pt>
                <c:pt idx="16">
                  <c:v>4.8074737407469135</c:v>
                </c:pt>
                <c:pt idx="17">
                  <c:v>0.62206072562101378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51.264381189547308</c:v>
                </c:pt>
                <c:pt idx="25">
                  <c:v>49.255978465150655</c:v>
                </c:pt>
                <c:pt idx="26">
                  <c:v>55.73571610534718</c:v>
                </c:pt>
                <c:pt idx="27">
                  <c:v>54.92339784673063</c:v>
                </c:pt>
                <c:pt idx="28">
                  <c:v>53.401565061088007</c:v>
                </c:pt>
                <c:pt idx="29">
                  <c:v>53.890580005303526</c:v>
                </c:pt>
                <c:pt idx="30">
                  <c:v>55.625858193367982</c:v>
                </c:pt>
                <c:pt idx="31">
                  <c:v>56.709673492606385</c:v>
                </c:pt>
                <c:pt idx="32">
                  <c:v>57.529127078071106</c:v>
                </c:pt>
                <c:pt idx="33">
                  <c:v>58.022349438302548</c:v>
                </c:pt>
                <c:pt idx="34">
                  <c:v>60.722231599172304</c:v>
                </c:pt>
                <c:pt idx="35">
                  <c:v>56.374424973293891</c:v>
                </c:pt>
                <c:pt idx="36">
                  <c:v>57.610790173976213</c:v>
                </c:pt>
                <c:pt idx="37">
                  <c:v>61.976212307236992</c:v>
                </c:pt>
                <c:pt idx="38">
                  <c:v>60.085951506094084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0.12950749107874326</c:v>
                </c:pt>
                <c:pt idx="78">
                  <c:v>3.0373150194113405</c:v>
                </c:pt>
                <c:pt idx="79">
                  <c:v>5.1375322698217678</c:v>
                </c:pt>
                <c:pt idx="80">
                  <c:v>7.0226521386033038</c:v>
                </c:pt>
                <c:pt idx="81">
                  <c:v>6.5620604083074205</c:v>
                </c:pt>
                <c:pt idx="82">
                  <c:v>8.557406257939725</c:v>
                </c:pt>
                <c:pt idx="83">
                  <c:v>9.7632090441596393</c:v>
                </c:pt>
                <c:pt idx="84">
                  <c:v>11.827177154599703</c:v>
                </c:pt>
                <c:pt idx="85">
                  <c:v>17.673348213724715</c:v>
                </c:pt>
                <c:pt idx="86">
                  <c:v>21.250065672344476</c:v>
                </c:pt>
                <c:pt idx="87">
                  <c:v>15.488397336012209</c:v>
                </c:pt>
                <c:pt idx="88">
                  <c:v>17.880196243202001</c:v>
                </c:pt>
                <c:pt idx="89">
                  <c:v>19.458971794010548</c:v>
                </c:pt>
                <c:pt idx="90">
                  <c:v>30.225974116680717</c:v>
                </c:pt>
                <c:pt idx="91">
                  <c:v>28.85166823749914</c:v>
                </c:pt>
                <c:pt idx="92">
                  <c:v>34.905937437721995</c:v>
                </c:pt>
                <c:pt idx="93">
                  <c:v>45.838515466187516</c:v>
                </c:pt>
                <c:pt idx="94">
                  <c:v>50.956506488648898</c:v>
                </c:pt>
                <c:pt idx="95">
                  <c:v>55.145007313424031</c:v>
                </c:pt>
                <c:pt idx="96">
                  <c:v>45.594976089151594</c:v>
                </c:pt>
                <c:pt idx="97">
                  <c:v>52.574955631007569</c:v>
                </c:pt>
                <c:pt idx="98">
                  <c:v>54.813777421074526</c:v>
                </c:pt>
                <c:pt idx="99">
                  <c:v>60.078733132438323</c:v>
                </c:pt>
                <c:pt idx="100">
                  <c:v>59.083091627253395</c:v>
                </c:pt>
                <c:pt idx="101">
                  <c:v>55.569171373426741</c:v>
                </c:pt>
                <c:pt idx="102">
                  <c:v>50.475909049234581</c:v>
                </c:pt>
                <c:pt idx="103">
                  <c:v>48.2981736885367</c:v>
                </c:pt>
                <c:pt idx="104">
                  <c:v>51.250286535023918</c:v>
                </c:pt>
                <c:pt idx="105">
                  <c:v>41.454513132010156</c:v>
                </c:pt>
                <c:pt idx="106">
                  <c:v>38.853792541133039</c:v>
                </c:pt>
                <c:pt idx="107">
                  <c:v>42.882532904326879</c:v>
                </c:pt>
                <c:pt idx="108">
                  <c:v>38.507495911335596</c:v>
                </c:pt>
                <c:pt idx="109">
                  <c:v>51.406576810797908</c:v>
                </c:pt>
                <c:pt idx="110">
                  <c:v>51.886148743681794</c:v>
                </c:pt>
                <c:pt idx="111">
                  <c:v>50.688851929375545</c:v>
                </c:pt>
                <c:pt idx="112">
                  <c:v>44.792466028741458</c:v>
                </c:pt>
                <c:pt idx="113">
                  <c:v>42.493847647052249</c:v>
                </c:pt>
                <c:pt idx="114">
                  <c:v>34.228211462121777</c:v>
                </c:pt>
                <c:pt idx="115">
                  <c:v>33.962322699367142</c:v>
                </c:pt>
                <c:pt idx="116">
                  <c:v>37.018273444889935</c:v>
                </c:pt>
                <c:pt idx="117">
                  <c:v>33.462184968214245</c:v>
                </c:pt>
                <c:pt idx="118">
                  <c:v>37.884051553980939</c:v>
                </c:pt>
                <c:pt idx="119">
                  <c:v>39.49206275290976</c:v>
                </c:pt>
                <c:pt idx="120">
                  <c:v>32.392320734309408</c:v>
                </c:pt>
                <c:pt idx="121">
                  <c:v>21.329919835227237</c:v>
                </c:pt>
              </c:numCache>
            </c:numRef>
          </c:yVal>
          <c:smooth val="1"/>
        </c:ser>
        <c:axId val="189267328"/>
        <c:axId val="189265024"/>
      </c:scatterChart>
      <c:valAx>
        <c:axId val="120885632"/>
        <c:scaling>
          <c:orientation val="minMax"/>
        </c:scaling>
        <c:axPos val="b"/>
        <c:numFmt formatCode="dd/mm/yyyy\ hh:mm" sourceLinked="1"/>
        <c:tickLblPos val="nextTo"/>
        <c:crossAx val="120875264"/>
        <c:crosses val="autoZero"/>
        <c:crossBetween val="midCat"/>
      </c:valAx>
      <c:valAx>
        <c:axId val="120875264"/>
        <c:scaling>
          <c:orientation val="minMax"/>
        </c:scaling>
        <c:axPos val="l"/>
        <c:majorGridlines/>
        <c:numFmt formatCode="0.0%" sourceLinked="1"/>
        <c:tickLblPos val="nextTo"/>
        <c:crossAx val="120885632"/>
        <c:crosses val="autoZero"/>
        <c:crossBetween val="midCat"/>
      </c:valAx>
      <c:valAx>
        <c:axId val="189265024"/>
        <c:scaling>
          <c:orientation val="minMax"/>
        </c:scaling>
        <c:axPos val="r"/>
        <c:numFmt formatCode="0.0" sourceLinked="1"/>
        <c:tickLblPos val="nextTo"/>
        <c:crossAx val="189267328"/>
        <c:crosses val="max"/>
        <c:crossBetween val="midCat"/>
      </c:valAx>
      <c:valAx>
        <c:axId val="189267328"/>
        <c:scaling>
          <c:orientation val="minMax"/>
        </c:scaling>
        <c:delete val="1"/>
        <c:axPos val="b"/>
        <c:numFmt formatCode="dd/mm/yyyy\ hh:mm" sourceLinked="1"/>
        <c:tickLblPos val="none"/>
        <c:crossAx val="189265024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Temp 1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Tabelle1!$C$2:$C$123</c:f>
              <c:numCache>
                <c:formatCode>0.0</c:formatCode>
                <c:ptCount val="122"/>
                <c:pt idx="0">
                  <c:v>17.899999999999999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</c:v>
                </c:pt>
                <c:pt idx="4">
                  <c:v>17.899999999999999</c:v>
                </c:pt>
                <c:pt idx="5">
                  <c:v>17.899999999999999</c:v>
                </c:pt>
                <c:pt idx="6">
                  <c:v>17.8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17.899999999999999</c:v>
                </c:pt>
                <c:pt idx="11">
                  <c:v>17.899999999999999</c:v>
                </c:pt>
                <c:pt idx="12">
                  <c:v>17.7</c:v>
                </c:pt>
                <c:pt idx="13">
                  <c:v>15.8</c:v>
                </c:pt>
                <c:pt idx="14">
                  <c:v>15.3</c:v>
                </c:pt>
                <c:pt idx="15">
                  <c:v>15.3</c:v>
                </c:pt>
                <c:pt idx="16">
                  <c:v>15.9</c:v>
                </c:pt>
                <c:pt idx="17">
                  <c:v>15.6</c:v>
                </c:pt>
                <c:pt idx="18">
                  <c:v>15.5</c:v>
                </c:pt>
                <c:pt idx="19">
                  <c:v>15.4</c:v>
                </c:pt>
                <c:pt idx="20">
                  <c:v>15.4</c:v>
                </c:pt>
                <c:pt idx="21">
                  <c:v>15.5</c:v>
                </c:pt>
                <c:pt idx="22">
                  <c:v>15.7</c:v>
                </c:pt>
                <c:pt idx="23">
                  <c:v>15.7</c:v>
                </c:pt>
                <c:pt idx="24">
                  <c:v>15.8</c:v>
                </c:pt>
                <c:pt idx="25">
                  <c:v>16.600000000000001</c:v>
                </c:pt>
                <c:pt idx="26">
                  <c:v>17</c:v>
                </c:pt>
                <c:pt idx="27">
                  <c:v>17.3</c:v>
                </c:pt>
                <c:pt idx="28">
                  <c:v>17.5</c:v>
                </c:pt>
                <c:pt idx="29">
                  <c:v>17.7</c:v>
                </c:pt>
                <c:pt idx="30">
                  <c:v>17.8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18</c:v>
                </c:pt>
                <c:pt idx="34">
                  <c:v>18.100000000000001</c:v>
                </c:pt>
                <c:pt idx="35">
                  <c:v>18.100000000000001</c:v>
                </c:pt>
                <c:pt idx="36">
                  <c:v>18.2</c:v>
                </c:pt>
                <c:pt idx="37">
                  <c:v>18.3</c:v>
                </c:pt>
                <c:pt idx="38">
                  <c:v>18.3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17.899999999999999</c:v>
                </c:pt>
                <c:pt idx="57">
                  <c:v>17.899999999999999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17.899999999999999</c:v>
                </c:pt>
                <c:pt idx="63">
                  <c:v>17.8</c:v>
                </c:pt>
                <c:pt idx="64">
                  <c:v>17.899999999999999</c:v>
                </c:pt>
                <c:pt idx="65">
                  <c:v>17.8</c:v>
                </c:pt>
                <c:pt idx="66">
                  <c:v>17.899999999999999</c:v>
                </c:pt>
                <c:pt idx="67">
                  <c:v>17.8</c:v>
                </c:pt>
                <c:pt idx="68">
                  <c:v>17.8</c:v>
                </c:pt>
                <c:pt idx="69">
                  <c:v>17.8</c:v>
                </c:pt>
                <c:pt idx="70">
                  <c:v>17.8</c:v>
                </c:pt>
                <c:pt idx="71">
                  <c:v>17.8</c:v>
                </c:pt>
                <c:pt idx="72">
                  <c:v>17.8</c:v>
                </c:pt>
                <c:pt idx="73">
                  <c:v>17.8</c:v>
                </c:pt>
                <c:pt idx="74">
                  <c:v>17.8</c:v>
                </c:pt>
                <c:pt idx="75">
                  <c:v>17.8</c:v>
                </c:pt>
                <c:pt idx="76">
                  <c:v>17.8</c:v>
                </c:pt>
                <c:pt idx="77">
                  <c:v>17.8</c:v>
                </c:pt>
                <c:pt idx="78">
                  <c:v>17.8</c:v>
                </c:pt>
                <c:pt idx="79">
                  <c:v>17.899999999999999</c:v>
                </c:pt>
                <c:pt idx="80">
                  <c:v>17.899999999999999</c:v>
                </c:pt>
                <c:pt idx="81">
                  <c:v>17.8</c:v>
                </c:pt>
                <c:pt idx="82">
                  <c:v>17.899999999999999</c:v>
                </c:pt>
                <c:pt idx="83">
                  <c:v>17.899999999999999</c:v>
                </c:pt>
                <c:pt idx="84">
                  <c:v>17.8</c:v>
                </c:pt>
                <c:pt idx="85">
                  <c:v>17.8</c:v>
                </c:pt>
                <c:pt idx="86">
                  <c:v>17.8</c:v>
                </c:pt>
                <c:pt idx="87">
                  <c:v>17.8</c:v>
                </c:pt>
                <c:pt idx="88">
                  <c:v>17.8</c:v>
                </c:pt>
                <c:pt idx="89">
                  <c:v>17.8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17.899999999999999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17.899999999999999</c:v>
                </c:pt>
                <c:pt idx="101">
                  <c:v>17.899999999999999</c:v>
                </c:pt>
                <c:pt idx="102">
                  <c:v>17.899999999999999</c:v>
                </c:pt>
                <c:pt idx="103">
                  <c:v>17.899999999999999</c:v>
                </c:pt>
                <c:pt idx="104">
                  <c:v>17.899999999999999</c:v>
                </c:pt>
                <c:pt idx="105">
                  <c:v>17.899999999999999</c:v>
                </c:pt>
                <c:pt idx="106">
                  <c:v>17.899999999999999</c:v>
                </c:pt>
                <c:pt idx="107">
                  <c:v>17.899999999999999</c:v>
                </c:pt>
                <c:pt idx="108">
                  <c:v>17.899999999999999</c:v>
                </c:pt>
                <c:pt idx="109">
                  <c:v>17.8</c:v>
                </c:pt>
                <c:pt idx="110">
                  <c:v>17.899999999999999</c:v>
                </c:pt>
                <c:pt idx="111">
                  <c:v>17.899999999999999</c:v>
                </c:pt>
                <c:pt idx="112">
                  <c:v>17.899999999999999</c:v>
                </c:pt>
                <c:pt idx="113">
                  <c:v>17.899999999999999</c:v>
                </c:pt>
                <c:pt idx="114">
                  <c:v>17.899999999999999</c:v>
                </c:pt>
                <c:pt idx="115">
                  <c:v>17.8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17.899999999999999</c:v>
                </c:pt>
                <c:pt idx="119">
                  <c:v>17.8</c:v>
                </c:pt>
                <c:pt idx="120">
                  <c:v>17.8</c:v>
                </c:pt>
                <c:pt idx="121">
                  <c:v>17.7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Tabelle1!$D$1</c:f>
              <c:strCache>
                <c:ptCount val="1"/>
                <c:pt idx="0">
                  <c:v>Temp 2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Tabelle1!$D$2:$D$123</c:f>
              <c:numCache>
                <c:formatCode>0.0</c:formatCode>
                <c:ptCount val="122"/>
                <c:pt idx="0">
                  <c:v>18.2</c:v>
                </c:pt>
                <c:pt idx="1">
                  <c:v>18.100000000000001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17.8</c:v>
                </c:pt>
                <c:pt idx="13">
                  <c:v>16.5</c:v>
                </c:pt>
                <c:pt idx="14">
                  <c:v>16</c:v>
                </c:pt>
                <c:pt idx="15">
                  <c:v>16</c:v>
                </c:pt>
                <c:pt idx="16">
                  <c:v>16.2</c:v>
                </c:pt>
                <c:pt idx="17">
                  <c:v>15.3</c:v>
                </c:pt>
                <c:pt idx="18">
                  <c:v>15.3</c:v>
                </c:pt>
                <c:pt idx="19">
                  <c:v>15.2</c:v>
                </c:pt>
                <c:pt idx="20">
                  <c:v>15.3</c:v>
                </c:pt>
                <c:pt idx="21">
                  <c:v>15.5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  <c:pt idx="25">
                  <c:v>16.7</c:v>
                </c:pt>
                <c:pt idx="26">
                  <c:v>17.100000000000001</c:v>
                </c:pt>
                <c:pt idx="27">
                  <c:v>17.3</c:v>
                </c:pt>
                <c:pt idx="28">
                  <c:v>17.5</c:v>
                </c:pt>
                <c:pt idx="29">
                  <c:v>17.7</c:v>
                </c:pt>
                <c:pt idx="30">
                  <c:v>17.8</c:v>
                </c:pt>
                <c:pt idx="31">
                  <c:v>17.899999999999999</c:v>
                </c:pt>
                <c:pt idx="32">
                  <c:v>18</c:v>
                </c:pt>
                <c:pt idx="33">
                  <c:v>18.100000000000001</c:v>
                </c:pt>
                <c:pt idx="34">
                  <c:v>18.100000000000001</c:v>
                </c:pt>
                <c:pt idx="35">
                  <c:v>18.100000000000001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18.3</c:v>
                </c:pt>
                <c:pt idx="40">
                  <c:v>18.2</c:v>
                </c:pt>
                <c:pt idx="41">
                  <c:v>18.2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17.899999999999999</c:v>
                </c:pt>
                <c:pt idx="57">
                  <c:v>17.899999999999999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17.899999999999999</c:v>
                </c:pt>
                <c:pt idx="63">
                  <c:v>17.899999999999999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17.899999999999999</c:v>
                </c:pt>
                <c:pt idx="67">
                  <c:v>17.899999999999999</c:v>
                </c:pt>
                <c:pt idx="68">
                  <c:v>17.899999999999999</c:v>
                </c:pt>
                <c:pt idx="69">
                  <c:v>17.8</c:v>
                </c:pt>
                <c:pt idx="70">
                  <c:v>17.8</c:v>
                </c:pt>
                <c:pt idx="71">
                  <c:v>17.8</c:v>
                </c:pt>
                <c:pt idx="72">
                  <c:v>17.8</c:v>
                </c:pt>
                <c:pt idx="73">
                  <c:v>17.8</c:v>
                </c:pt>
                <c:pt idx="74">
                  <c:v>17.8</c:v>
                </c:pt>
                <c:pt idx="75">
                  <c:v>17.8</c:v>
                </c:pt>
                <c:pt idx="76">
                  <c:v>17.899999999999999</c:v>
                </c:pt>
                <c:pt idx="77">
                  <c:v>17.899999999999999</c:v>
                </c:pt>
                <c:pt idx="78">
                  <c:v>17.899999999999999</c:v>
                </c:pt>
                <c:pt idx="79">
                  <c:v>17.899999999999999</c:v>
                </c:pt>
                <c:pt idx="80">
                  <c:v>17.899999999999999</c:v>
                </c:pt>
                <c:pt idx="81">
                  <c:v>17.899999999999999</c:v>
                </c:pt>
                <c:pt idx="82">
                  <c:v>17.899999999999999</c:v>
                </c:pt>
                <c:pt idx="83">
                  <c:v>17.899999999999999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17.899999999999999</c:v>
                </c:pt>
                <c:pt idx="88">
                  <c:v>17.899999999999999</c:v>
                </c:pt>
                <c:pt idx="89">
                  <c:v>17.899999999999999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17.899999999999999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18</c:v>
                </c:pt>
                <c:pt idx="101">
                  <c:v>17.899999999999999</c:v>
                </c:pt>
                <c:pt idx="102">
                  <c:v>17.899999999999999</c:v>
                </c:pt>
                <c:pt idx="103">
                  <c:v>17.899999999999999</c:v>
                </c:pt>
                <c:pt idx="104">
                  <c:v>17.899999999999999</c:v>
                </c:pt>
                <c:pt idx="105">
                  <c:v>17.899999999999999</c:v>
                </c:pt>
                <c:pt idx="106">
                  <c:v>17.899999999999999</c:v>
                </c:pt>
                <c:pt idx="107">
                  <c:v>17.899999999999999</c:v>
                </c:pt>
                <c:pt idx="108">
                  <c:v>17.899999999999999</c:v>
                </c:pt>
                <c:pt idx="109">
                  <c:v>17.899999999999999</c:v>
                </c:pt>
                <c:pt idx="110">
                  <c:v>17.899999999999999</c:v>
                </c:pt>
                <c:pt idx="111">
                  <c:v>17.899999999999999</c:v>
                </c:pt>
                <c:pt idx="112">
                  <c:v>17.899999999999999</c:v>
                </c:pt>
                <c:pt idx="113">
                  <c:v>17.899999999999999</c:v>
                </c:pt>
                <c:pt idx="114">
                  <c:v>17.899999999999999</c:v>
                </c:pt>
                <c:pt idx="115">
                  <c:v>17.899999999999999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17.899999999999999</c:v>
                </c:pt>
                <c:pt idx="119">
                  <c:v>17.8</c:v>
                </c:pt>
                <c:pt idx="120">
                  <c:v>17.8</c:v>
                </c:pt>
                <c:pt idx="121">
                  <c:v>17.8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Tabelle1!$E$1</c:f>
              <c:strCache>
                <c:ptCount val="1"/>
                <c:pt idx="0">
                  <c:v>Temp 3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Tabelle1!$E$2:$E$123</c:f>
              <c:numCache>
                <c:formatCode>0.0</c:formatCode>
                <c:ptCount val="122"/>
                <c:pt idx="0">
                  <c:v>18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17.899999999999999</c:v>
                </c:pt>
                <c:pt idx="4">
                  <c:v>17.899999999999999</c:v>
                </c:pt>
                <c:pt idx="5">
                  <c:v>17.899999999999999</c:v>
                </c:pt>
                <c:pt idx="6">
                  <c:v>17.8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17.899999999999999</c:v>
                </c:pt>
                <c:pt idx="11">
                  <c:v>17.899999999999999</c:v>
                </c:pt>
                <c:pt idx="12">
                  <c:v>17.7</c:v>
                </c:pt>
                <c:pt idx="13">
                  <c:v>16.399999999999999</c:v>
                </c:pt>
                <c:pt idx="14">
                  <c:v>15.9</c:v>
                </c:pt>
                <c:pt idx="15">
                  <c:v>15.7</c:v>
                </c:pt>
                <c:pt idx="16">
                  <c:v>16</c:v>
                </c:pt>
                <c:pt idx="17">
                  <c:v>15.3</c:v>
                </c:pt>
                <c:pt idx="18">
                  <c:v>15.3</c:v>
                </c:pt>
                <c:pt idx="19">
                  <c:v>15.2</c:v>
                </c:pt>
                <c:pt idx="20">
                  <c:v>15.3</c:v>
                </c:pt>
                <c:pt idx="21">
                  <c:v>15.4</c:v>
                </c:pt>
                <c:pt idx="22">
                  <c:v>15.7</c:v>
                </c:pt>
                <c:pt idx="23">
                  <c:v>15.6</c:v>
                </c:pt>
                <c:pt idx="24">
                  <c:v>15.7</c:v>
                </c:pt>
                <c:pt idx="25">
                  <c:v>16.399999999999999</c:v>
                </c:pt>
                <c:pt idx="26">
                  <c:v>16.899999999999999</c:v>
                </c:pt>
                <c:pt idx="27">
                  <c:v>17.2</c:v>
                </c:pt>
                <c:pt idx="28">
                  <c:v>17.399999999999999</c:v>
                </c:pt>
                <c:pt idx="29">
                  <c:v>17.600000000000001</c:v>
                </c:pt>
                <c:pt idx="30">
                  <c:v>17.7</c:v>
                </c:pt>
                <c:pt idx="31">
                  <c:v>17.8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18</c:v>
                </c:pt>
                <c:pt idx="35">
                  <c:v>18.100000000000001</c:v>
                </c:pt>
                <c:pt idx="36">
                  <c:v>18.100000000000001</c:v>
                </c:pt>
                <c:pt idx="37">
                  <c:v>18.2</c:v>
                </c:pt>
                <c:pt idx="38">
                  <c:v>18.2</c:v>
                </c:pt>
                <c:pt idx="39">
                  <c:v>18.2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17.899999999999999</c:v>
                </c:pt>
                <c:pt idx="47">
                  <c:v>18</c:v>
                </c:pt>
                <c:pt idx="48">
                  <c:v>18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17.899999999999999</c:v>
                </c:pt>
                <c:pt idx="57">
                  <c:v>17.8</c:v>
                </c:pt>
                <c:pt idx="58">
                  <c:v>17.8</c:v>
                </c:pt>
                <c:pt idx="59">
                  <c:v>17.8</c:v>
                </c:pt>
                <c:pt idx="60">
                  <c:v>17.8</c:v>
                </c:pt>
                <c:pt idx="61">
                  <c:v>17.8</c:v>
                </c:pt>
                <c:pt idx="62">
                  <c:v>17.8</c:v>
                </c:pt>
                <c:pt idx="63">
                  <c:v>17.8</c:v>
                </c:pt>
                <c:pt idx="64">
                  <c:v>17.8</c:v>
                </c:pt>
                <c:pt idx="65">
                  <c:v>17.8</c:v>
                </c:pt>
                <c:pt idx="66">
                  <c:v>17.8</c:v>
                </c:pt>
                <c:pt idx="67">
                  <c:v>17.8</c:v>
                </c:pt>
                <c:pt idx="68">
                  <c:v>17.7</c:v>
                </c:pt>
                <c:pt idx="69">
                  <c:v>17.7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17.7</c:v>
                </c:pt>
                <c:pt idx="74">
                  <c:v>17.7</c:v>
                </c:pt>
                <c:pt idx="75">
                  <c:v>17.8</c:v>
                </c:pt>
                <c:pt idx="76">
                  <c:v>17.7</c:v>
                </c:pt>
                <c:pt idx="77">
                  <c:v>17.8</c:v>
                </c:pt>
                <c:pt idx="78">
                  <c:v>17.8</c:v>
                </c:pt>
                <c:pt idx="79">
                  <c:v>17.8</c:v>
                </c:pt>
                <c:pt idx="80">
                  <c:v>17.8</c:v>
                </c:pt>
                <c:pt idx="81">
                  <c:v>17.8</c:v>
                </c:pt>
                <c:pt idx="82">
                  <c:v>17.8</c:v>
                </c:pt>
                <c:pt idx="83">
                  <c:v>17.8</c:v>
                </c:pt>
                <c:pt idx="84">
                  <c:v>17.8</c:v>
                </c:pt>
                <c:pt idx="85">
                  <c:v>17.8</c:v>
                </c:pt>
                <c:pt idx="86">
                  <c:v>17.8</c:v>
                </c:pt>
                <c:pt idx="87">
                  <c:v>17.8</c:v>
                </c:pt>
                <c:pt idx="88">
                  <c:v>17.8</c:v>
                </c:pt>
                <c:pt idx="89">
                  <c:v>17.8</c:v>
                </c:pt>
                <c:pt idx="90">
                  <c:v>17.8</c:v>
                </c:pt>
                <c:pt idx="91">
                  <c:v>17.8</c:v>
                </c:pt>
                <c:pt idx="92">
                  <c:v>17.8</c:v>
                </c:pt>
                <c:pt idx="93">
                  <c:v>17.8</c:v>
                </c:pt>
                <c:pt idx="94">
                  <c:v>17.8</c:v>
                </c:pt>
                <c:pt idx="95">
                  <c:v>17.8</c:v>
                </c:pt>
                <c:pt idx="96">
                  <c:v>17.8</c:v>
                </c:pt>
                <c:pt idx="97">
                  <c:v>17.8</c:v>
                </c:pt>
                <c:pt idx="98">
                  <c:v>17.8</c:v>
                </c:pt>
                <c:pt idx="99">
                  <c:v>17.8</c:v>
                </c:pt>
                <c:pt idx="100">
                  <c:v>17.8</c:v>
                </c:pt>
                <c:pt idx="101">
                  <c:v>17.8</c:v>
                </c:pt>
                <c:pt idx="102">
                  <c:v>17.8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</c:v>
                </c:pt>
                <c:pt idx="107">
                  <c:v>17.8</c:v>
                </c:pt>
                <c:pt idx="108">
                  <c:v>17.8</c:v>
                </c:pt>
                <c:pt idx="109">
                  <c:v>17.8</c:v>
                </c:pt>
                <c:pt idx="110">
                  <c:v>17.8</c:v>
                </c:pt>
                <c:pt idx="111">
                  <c:v>17.8</c:v>
                </c:pt>
                <c:pt idx="112">
                  <c:v>17.8</c:v>
                </c:pt>
                <c:pt idx="113">
                  <c:v>17.8</c:v>
                </c:pt>
                <c:pt idx="114">
                  <c:v>17.8</c:v>
                </c:pt>
                <c:pt idx="115">
                  <c:v>17.8</c:v>
                </c:pt>
                <c:pt idx="116">
                  <c:v>17.8</c:v>
                </c:pt>
                <c:pt idx="117">
                  <c:v>17.8</c:v>
                </c:pt>
                <c:pt idx="118">
                  <c:v>17.8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</c:numCache>
            </c:numRef>
          </c:yVal>
          <c:smooth val="1"/>
        </c:ser>
        <c:axId val="185986432"/>
        <c:axId val="185984896"/>
      </c:scatterChart>
      <c:scatterChart>
        <c:scatterStyle val="smoothMarker"/>
        <c:ser>
          <c:idx val="3"/>
          <c:order val="3"/>
          <c:tx>
            <c:strRef>
              <c:f>Tabelle1!$F$1</c:f>
              <c:strCache>
                <c:ptCount val="1"/>
                <c:pt idx="0">
                  <c:v>Hum 1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Tabelle1!$F$2:$F$123</c:f>
              <c:numCache>
                <c:formatCode>0.0%</c:formatCode>
                <c:ptCount val="122"/>
                <c:pt idx="0">
                  <c:v>0.55200000000000005</c:v>
                </c:pt>
                <c:pt idx="1">
                  <c:v>0.55300000000000005</c:v>
                </c:pt>
                <c:pt idx="2">
                  <c:v>0.55800000000000005</c:v>
                </c:pt>
                <c:pt idx="3">
                  <c:v>0.56000000000000005</c:v>
                </c:pt>
                <c:pt idx="4">
                  <c:v>0.56200000000000006</c:v>
                </c:pt>
                <c:pt idx="5">
                  <c:v>0.56899999999999995</c:v>
                </c:pt>
                <c:pt idx="6">
                  <c:v>0.57199999999999995</c:v>
                </c:pt>
                <c:pt idx="7">
                  <c:v>0.57799999999999996</c:v>
                </c:pt>
                <c:pt idx="8">
                  <c:v>0.57799999999999996</c:v>
                </c:pt>
                <c:pt idx="9">
                  <c:v>0.58199999999999996</c:v>
                </c:pt>
                <c:pt idx="10">
                  <c:v>0.59099999999999997</c:v>
                </c:pt>
                <c:pt idx="11">
                  <c:v>0.60199999999999998</c:v>
                </c:pt>
                <c:pt idx="12">
                  <c:v>0.58599999999999997</c:v>
                </c:pt>
                <c:pt idx="13">
                  <c:v>0.60599999999999998</c:v>
                </c:pt>
                <c:pt idx="14">
                  <c:v>0.61799999999999999</c:v>
                </c:pt>
                <c:pt idx="15">
                  <c:v>0.61899999999999999</c:v>
                </c:pt>
                <c:pt idx="16">
                  <c:v>0.60399999999999998</c:v>
                </c:pt>
                <c:pt idx="17">
                  <c:v>0.60099999999999998</c:v>
                </c:pt>
                <c:pt idx="18">
                  <c:v>0.60499999999999998</c:v>
                </c:pt>
                <c:pt idx="19">
                  <c:v>0.61</c:v>
                </c:pt>
                <c:pt idx="20">
                  <c:v>0.61399999999999999</c:v>
                </c:pt>
                <c:pt idx="21">
                  <c:v>0.61399999999999999</c:v>
                </c:pt>
                <c:pt idx="22">
                  <c:v>0.61099999999999999</c:v>
                </c:pt>
                <c:pt idx="23">
                  <c:v>0.61699999999999999</c:v>
                </c:pt>
                <c:pt idx="24">
                  <c:v>0.63100000000000001</c:v>
                </c:pt>
                <c:pt idx="25">
                  <c:v>0.623</c:v>
                </c:pt>
                <c:pt idx="26">
                  <c:v>0.61899999999999999</c:v>
                </c:pt>
                <c:pt idx="27">
                  <c:v>0.621</c:v>
                </c:pt>
                <c:pt idx="28">
                  <c:v>0.625</c:v>
                </c:pt>
                <c:pt idx="29">
                  <c:v>0.628</c:v>
                </c:pt>
                <c:pt idx="30">
                  <c:v>0.63</c:v>
                </c:pt>
                <c:pt idx="31">
                  <c:v>0.63200000000000001</c:v>
                </c:pt>
                <c:pt idx="32">
                  <c:v>0.63400000000000001</c:v>
                </c:pt>
                <c:pt idx="33">
                  <c:v>0.63700000000000001</c:v>
                </c:pt>
                <c:pt idx="34">
                  <c:v>0.63800000000000001</c:v>
                </c:pt>
                <c:pt idx="35">
                  <c:v>0.63900000000000001</c:v>
                </c:pt>
                <c:pt idx="36">
                  <c:v>0.64</c:v>
                </c:pt>
                <c:pt idx="37">
                  <c:v>0.64200000000000002</c:v>
                </c:pt>
                <c:pt idx="38">
                  <c:v>0.64400000000000002</c:v>
                </c:pt>
                <c:pt idx="39">
                  <c:v>0.64600000000000002</c:v>
                </c:pt>
                <c:pt idx="40">
                  <c:v>0.65100000000000002</c:v>
                </c:pt>
                <c:pt idx="41">
                  <c:v>0.65500000000000003</c:v>
                </c:pt>
                <c:pt idx="42">
                  <c:v>0.65700000000000003</c:v>
                </c:pt>
                <c:pt idx="43">
                  <c:v>0.65800000000000003</c:v>
                </c:pt>
                <c:pt idx="44">
                  <c:v>0.66</c:v>
                </c:pt>
                <c:pt idx="45">
                  <c:v>0.65900000000000003</c:v>
                </c:pt>
                <c:pt idx="46">
                  <c:v>0.66100000000000003</c:v>
                </c:pt>
                <c:pt idx="47">
                  <c:v>0.66100000000000003</c:v>
                </c:pt>
                <c:pt idx="48">
                  <c:v>0.66200000000000003</c:v>
                </c:pt>
                <c:pt idx="49">
                  <c:v>0.66300000000000003</c:v>
                </c:pt>
                <c:pt idx="50">
                  <c:v>0.66500000000000004</c:v>
                </c:pt>
                <c:pt idx="51">
                  <c:v>0.66500000000000004</c:v>
                </c:pt>
                <c:pt idx="52">
                  <c:v>0.66700000000000004</c:v>
                </c:pt>
                <c:pt idx="53">
                  <c:v>0.66600000000000004</c:v>
                </c:pt>
                <c:pt idx="54">
                  <c:v>0.66700000000000004</c:v>
                </c:pt>
                <c:pt idx="55">
                  <c:v>0.66900000000000004</c:v>
                </c:pt>
                <c:pt idx="56">
                  <c:v>0.67</c:v>
                </c:pt>
                <c:pt idx="57">
                  <c:v>0.67100000000000004</c:v>
                </c:pt>
                <c:pt idx="58">
                  <c:v>0.67200000000000004</c:v>
                </c:pt>
                <c:pt idx="59">
                  <c:v>0.67300000000000004</c:v>
                </c:pt>
                <c:pt idx="60">
                  <c:v>0.67400000000000004</c:v>
                </c:pt>
                <c:pt idx="61">
                  <c:v>0.67500000000000004</c:v>
                </c:pt>
                <c:pt idx="62">
                  <c:v>0.67600000000000005</c:v>
                </c:pt>
                <c:pt idx="63">
                  <c:v>0.67600000000000005</c:v>
                </c:pt>
                <c:pt idx="64">
                  <c:v>0.67700000000000005</c:v>
                </c:pt>
                <c:pt idx="65">
                  <c:v>0.67800000000000005</c:v>
                </c:pt>
                <c:pt idx="66">
                  <c:v>0.67900000000000005</c:v>
                </c:pt>
                <c:pt idx="67">
                  <c:v>0.67900000000000005</c:v>
                </c:pt>
                <c:pt idx="68">
                  <c:v>0.68</c:v>
                </c:pt>
                <c:pt idx="69">
                  <c:v>0.68200000000000005</c:v>
                </c:pt>
                <c:pt idx="70">
                  <c:v>0.68200000000000005</c:v>
                </c:pt>
                <c:pt idx="71">
                  <c:v>0.68300000000000005</c:v>
                </c:pt>
                <c:pt idx="72">
                  <c:v>0.68300000000000005</c:v>
                </c:pt>
                <c:pt idx="73">
                  <c:v>0.68500000000000005</c:v>
                </c:pt>
                <c:pt idx="74">
                  <c:v>0.68700000000000006</c:v>
                </c:pt>
                <c:pt idx="75">
                  <c:v>0.68700000000000006</c:v>
                </c:pt>
                <c:pt idx="76">
                  <c:v>0.68899999999999995</c:v>
                </c:pt>
                <c:pt idx="77">
                  <c:v>0.68799999999999994</c:v>
                </c:pt>
                <c:pt idx="78">
                  <c:v>0.68799999999999994</c:v>
                </c:pt>
                <c:pt idx="79">
                  <c:v>0.69099999999999995</c:v>
                </c:pt>
                <c:pt idx="80">
                  <c:v>0.69499999999999995</c:v>
                </c:pt>
                <c:pt idx="81">
                  <c:v>0.69499999999999995</c:v>
                </c:pt>
                <c:pt idx="82">
                  <c:v>0.69499999999999995</c:v>
                </c:pt>
                <c:pt idx="83">
                  <c:v>0.69599999999999995</c:v>
                </c:pt>
                <c:pt idx="84">
                  <c:v>0.69499999999999995</c:v>
                </c:pt>
                <c:pt idx="85">
                  <c:v>0.69299999999999995</c:v>
                </c:pt>
                <c:pt idx="86">
                  <c:v>0.69199999999999995</c:v>
                </c:pt>
                <c:pt idx="87">
                  <c:v>0.69199999999999995</c:v>
                </c:pt>
                <c:pt idx="88">
                  <c:v>0.69499999999999995</c:v>
                </c:pt>
                <c:pt idx="89">
                  <c:v>0.69899999999999995</c:v>
                </c:pt>
                <c:pt idx="90">
                  <c:v>0.7</c:v>
                </c:pt>
                <c:pt idx="91">
                  <c:v>0.7</c:v>
                </c:pt>
                <c:pt idx="92">
                  <c:v>0.71599999999999997</c:v>
                </c:pt>
                <c:pt idx="93">
                  <c:v>0.73099999999999998</c:v>
                </c:pt>
                <c:pt idx="94">
                  <c:v>0.72499999999999998</c:v>
                </c:pt>
                <c:pt idx="95">
                  <c:v>0.71899999999999997</c:v>
                </c:pt>
                <c:pt idx="96">
                  <c:v>0.71099999999999997</c:v>
                </c:pt>
                <c:pt idx="97">
                  <c:v>0.70299999999999996</c:v>
                </c:pt>
                <c:pt idx="98">
                  <c:v>0.69899999999999995</c:v>
                </c:pt>
                <c:pt idx="99">
                  <c:v>0.69299999999999995</c:v>
                </c:pt>
                <c:pt idx="100">
                  <c:v>0.68799999999999994</c:v>
                </c:pt>
                <c:pt idx="101">
                  <c:v>0.68700000000000006</c:v>
                </c:pt>
                <c:pt idx="102">
                  <c:v>0.68700000000000006</c:v>
                </c:pt>
                <c:pt idx="103">
                  <c:v>0.68700000000000006</c:v>
                </c:pt>
                <c:pt idx="104">
                  <c:v>0.68700000000000006</c:v>
                </c:pt>
                <c:pt idx="105">
                  <c:v>0.68500000000000005</c:v>
                </c:pt>
                <c:pt idx="106">
                  <c:v>0.68400000000000005</c:v>
                </c:pt>
                <c:pt idx="107">
                  <c:v>0.68400000000000005</c:v>
                </c:pt>
                <c:pt idx="108">
                  <c:v>0.68300000000000005</c:v>
                </c:pt>
                <c:pt idx="109">
                  <c:v>0.68300000000000005</c:v>
                </c:pt>
                <c:pt idx="110">
                  <c:v>0.68300000000000005</c:v>
                </c:pt>
                <c:pt idx="111">
                  <c:v>0.68799999999999994</c:v>
                </c:pt>
                <c:pt idx="112">
                  <c:v>0.69099999999999995</c:v>
                </c:pt>
                <c:pt idx="113">
                  <c:v>0.69799999999999995</c:v>
                </c:pt>
                <c:pt idx="114">
                  <c:v>0.70599999999999996</c:v>
                </c:pt>
                <c:pt idx="115">
                  <c:v>0.71299999999999997</c:v>
                </c:pt>
                <c:pt idx="116">
                  <c:v>0.71499999999999997</c:v>
                </c:pt>
                <c:pt idx="117">
                  <c:v>0.70199999999999996</c:v>
                </c:pt>
                <c:pt idx="118">
                  <c:v>0.69499999999999995</c:v>
                </c:pt>
                <c:pt idx="119">
                  <c:v>0.65800000000000003</c:v>
                </c:pt>
                <c:pt idx="120">
                  <c:v>0.66500000000000004</c:v>
                </c:pt>
                <c:pt idx="121">
                  <c:v>0.66700000000000004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Tabelle1!$G$1</c:f>
              <c:strCache>
                <c:ptCount val="1"/>
                <c:pt idx="0">
                  <c:v>Hum 2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Tabelle1!$G$2:$G$123</c:f>
              <c:numCache>
                <c:formatCode>0.0%</c:formatCode>
                <c:ptCount val="122"/>
                <c:pt idx="0">
                  <c:v>0.53300000000000003</c:v>
                </c:pt>
                <c:pt idx="1">
                  <c:v>0.53500000000000003</c:v>
                </c:pt>
                <c:pt idx="2">
                  <c:v>0.53900000000000003</c:v>
                </c:pt>
                <c:pt idx="3">
                  <c:v>0.54200000000000004</c:v>
                </c:pt>
                <c:pt idx="4">
                  <c:v>0.54500000000000004</c:v>
                </c:pt>
                <c:pt idx="5">
                  <c:v>0.55100000000000005</c:v>
                </c:pt>
                <c:pt idx="6">
                  <c:v>0.55500000000000005</c:v>
                </c:pt>
                <c:pt idx="7">
                  <c:v>0.56100000000000005</c:v>
                </c:pt>
                <c:pt idx="8">
                  <c:v>0.56299999999999994</c:v>
                </c:pt>
                <c:pt idx="9">
                  <c:v>0.56499999999999995</c:v>
                </c:pt>
                <c:pt idx="10">
                  <c:v>0.57399999999999995</c:v>
                </c:pt>
                <c:pt idx="11">
                  <c:v>0.58599999999999997</c:v>
                </c:pt>
                <c:pt idx="12">
                  <c:v>0.56999999999999995</c:v>
                </c:pt>
                <c:pt idx="13">
                  <c:v>0.57099999999999995</c:v>
                </c:pt>
                <c:pt idx="14">
                  <c:v>0.57799999999999996</c:v>
                </c:pt>
                <c:pt idx="15">
                  <c:v>0.57599999999999996</c:v>
                </c:pt>
                <c:pt idx="16">
                  <c:v>0.57399999999999995</c:v>
                </c:pt>
                <c:pt idx="17">
                  <c:v>0.59599999999999997</c:v>
                </c:pt>
                <c:pt idx="18">
                  <c:v>0.59299999999999997</c:v>
                </c:pt>
                <c:pt idx="19">
                  <c:v>0.59499999999999997</c:v>
                </c:pt>
                <c:pt idx="20">
                  <c:v>0.59799999999999998</c:v>
                </c:pt>
                <c:pt idx="21">
                  <c:v>0.59399999999999997</c:v>
                </c:pt>
                <c:pt idx="22">
                  <c:v>0.59099999999999997</c:v>
                </c:pt>
                <c:pt idx="23">
                  <c:v>0.59599999999999997</c:v>
                </c:pt>
                <c:pt idx="24">
                  <c:v>0.60699999999999998</c:v>
                </c:pt>
                <c:pt idx="25">
                  <c:v>0.60399999999999998</c:v>
                </c:pt>
                <c:pt idx="26">
                  <c:v>0.60499999999999998</c:v>
                </c:pt>
                <c:pt idx="27">
                  <c:v>0.60799999999999998</c:v>
                </c:pt>
                <c:pt idx="28">
                  <c:v>0.61199999999999999</c:v>
                </c:pt>
                <c:pt idx="29">
                  <c:v>0.61499999999999999</c:v>
                </c:pt>
                <c:pt idx="30">
                  <c:v>0.61599999999999999</c:v>
                </c:pt>
                <c:pt idx="31">
                  <c:v>0.61899999999999999</c:v>
                </c:pt>
                <c:pt idx="32">
                  <c:v>0.621</c:v>
                </c:pt>
                <c:pt idx="33">
                  <c:v>0.623</c:v>
                </c:pt>
                <c:pt idx="34">
                  <c:v>0.624</c:v>
                </c:pt>
                <c:pt idx="35">
                  <c:v>0.626</c:v>
                </c:pt>
                <c:pt idx="36">
                  <c:v>0.625</c:v>
                </c:pt>
                <c:pt idx="37">
                  <c:v>0.627</c:v>
                </c:pt>
                <c:pt idx="38">
                  <c:v>0.63</c:v>
                </c:pt>
                <c:pt idx="39">
                  <c:v>0.63300000000000001</c:v>
                </c:pt>
                <c:pt idx="40">
                  <c:v>0.63700000000000001</c:v>
                </c:pt>
                <c:pt idx="41">
                  <c:v>0.64100000000000001</c:v>
                </c:pt>
                <c:pt idx="42">
                  <c:v>0.64300000000000002</c:v>
                </c:pt>
                <c:pt idx="43">
                  <c:v>0.64500000000000002</c:v>
                </c:pt>
                <c:pt idx="44">
                  <c:v>0.64500000000000002</c:v>
                </c:pt>
                <c:pt idx="45">
                  <c:v>0.64600000000000002</c:v>
                </c:pt>
                <c:pt idx="46">
                  <c:v>0.64700000000000002</c:v>
                </c:pt>
                <c:pt idx="47">
                  <c:v>0.64800000000000002</c:v>
                </c:pt>
                <c:pt idx="48">
                  <c:v>0.64800000000000002</c:v>
                </c:pt>
                <c:pt idx="49">
                  <c:v>0.64900000000000002</c:v>
                </c:pt>
                <c:pt idx="50">
                  <c:v>0.65</c:v>
                </c:pt>
                <c:pt idx="51">
                  <c:v>0.65100000000000002</c:v>
                </c:pt>
                <c:pt idx="52">
                  <c:v>0.65300000000000002</c:v>
                </c:pt>
                <c:pt idx="53">
                  <c:v>0.65300000000000002</c:v>
                </c:pt>
                <c:pt idx="54">
                  <c:v>0.65400000000000003</c:v>
                </c:pt>
                <c:pt idx="55">
                  <c:v>0.65400000000000003</c:v>
                </c:pt>
                <c:pt idx="56">
                  <c:v>0.65600000000000003</c:v>
                </c:pt>
                <c:pt idx="57">
                  <c:v>0.65600000000000003</c:v>
                </c:pt>
                <c:pt idx="58">
                  <c:v>0.65700000000000003</c:v>
                </c:pt>
                <c:pt idx="59">
                  <c:v>0.65800000000000003</c:v>
                </c:pt>
                <c:pt idx="60">
                  <c:v>0.65900000000000003</c:v>
                </c:pt>
                <c:pt idx="61">
                  <c:v>0.66</c:v>
                </c:pt>
                <c:pt idx="62">
                  <c:v>0.66200000000000003</c:v>
                </c:pt>
                <c:pt idx="63">
                  <c:v>0.66200000000000003</c:v>
                </c:pt>
                <c:pt idx="64">
                  <c:v>0.66300000000000003</c:v>
                </c:pt>
                <c:pt idx="65">
                  <c:v>0.66300000000000003</c:v>
                </c:pt>
                <c:pt idx="66">
                  <c:v>0.66400000000000003</c:v>
                </c:pt>
                <c:pt idx="67">
                  <c:v>0.66500000000000004</c:v>
                </c:pt>
                <c:pt idx="68">
                  <c:v>0.66600000000000004</c:v>
                </c:pt>
                <c:pt idx="69">
                  <c:v>0.66700000000000004</c:v>
                </c:pt>
                <c:pt idx="70">
                  <c:v>0.66700000000000004</c:v>
                </c:pt>
                <c:pt idx="71">
                  <c:v>0.66800000000000004</c:v>
                </c:pt>
                <c:pt idx="72">
                  <c:v>0.66900000000000004</c:v>
                </c:pt>
                <c:pt idx="73">
                  <c:v>0.67</c:v>
                </c:pt>
                <c:pt idx="74">
                  <c:v>0.67200000000000004</c:v>
                </c:pt>
                <c:pt idx="75">
                  <c:v>0.67300000000000004</c:v>
                </c:pt>
                <c:pt idx="76">
                  <c:v>0.67500000000000004</c:v>
                </c:pt>
                <c:pt idx="77">
                  <c:v>0.67500000000000004</c:v>
                </c:pt>
                <c:pt idx="78">
                  <c:v>0.67500000000000004</c:v>
                </c:pt>
                <c:pt idx="79">
                  <c:v>0.67900000000000005</c:v>
                </c:pt>
                <c:pt idx="80">
                  <c:v>0.68100000000000005</c:v>
                </c:pt>
                <c:pt idx="81">
                  <c:v>0.68100000000000005</c:v>
                </c:pt>
                <c:pt idx="82">
                  <c:v>0.68100000000000005</c:v>
                </c:pt>
                <c:pt idx="83">
                  <c:v>0.68300000000000005</c:v>
                </c:pt>
                <c:pt idx="84">
                  <c:v>0.68100000000000005</c:v>
                </c:pt>
                <c:pt idx="85">
                  <c:v>0.67900000000000005</c:v>
                </c:pt>
                <c:pt idx="86">
                  <c:v>0.67800000000000005</c:v>
                </c:pt>
                <c:pt idx="87">
                  <c:v>0.67800000000000005</c:v>
                </c:pt>
                <c:pt idx="88">
                  <c:v>0.68100000000000005</c:v>
                </c:pt>
                <c:pt idx="89">
                  <c:v>0.68400000000000005</c:v>
                </c:pt>
                <c:pt idx="90">
                  <c:v>0.68600000000000005</c:v>
                </c:pt>
                <c:pt idx="91">
                  <c:v>0.68500000000000005</c:v>
                </c:pt>
                <c:pt idx="92">
                  <c:v>0.70199999999999996</c:v>
                </c:pt>
                <c:pt idx="93">
                  <c:v>0.71699999999999997</c:v>
                </c:pt>
                <c:pt idx="94">
                  <c:v>0.71</c:v>
                </c:pt>
                <c:pt idx="95">
                  <c:v>0.70399999999999996</c:v>
                </c:pt>
                <c:pt idx="96">
                  <c:v>0.69599999999999995</c:v>
                </c:pt>
                <c:pt idx="97">
                  <c:v>0.68799999999999994</c:v>
                </c:pt>
                <c:pt idx="98">
                  <c:v>0.68300000000000005</c:v>
                </c:pt>
                <c:pt idx="99">
                  <c:v>0.67800000000000005</c:v>
                </c:pt>
                <c:pt idx="100">
                  <c:v>0.67300000000000004</c:v>
                </c:pt>
                <c:pt idx="101">
                  <c:v>0.67100000000000004</c:v>
                </c:pt>
                <c:pt idx="102">
                  <c:v>0.67200000000000004</c:v>
                </c:pt>
                <c:pt idx="103">
                  <c:v>0.67200000000000004</c:v>
                </c:pt>
                <c:pt idx="104">
                  <c:v>0.67100000000000004</c:v>
                </c:pt>
                <c:pt idx="105">
                  <c:v>0.67</c:v>
                </c:pt>
                <c:pt idx="106">
                  <c:v>0.66900000000000004</c:v>
                </c:pt>
                <c:pt idx="107">
                  <c:v>0.66900000000000004</c:v>
                </c:pt>
                <c:pt idx="108">
                  <c:v>0.66800000000000004</c:v>
                </c:pt>
                <c:pt idx="109">
                  <c:v>0.66700000000000004</c:v>
                </c:pt>
                <c:pt idx="110">
                  <c:v>0.66800000000000004</c:v>
                </c:pt>
                <c:pt idx="111">
                  <c:v>0.67300000000000004</c:v>
                </c:pt>
                <c:pt idx="112">
                  <c:v>0.67600000000000005</c:v>
                </c:pt>
                <c:pt idx="113">
                  <c:v>0.68300000000000005</c:v>
                </c:pt>
                <c:pt idx="114">
                  <c:v>0.69099999999999995</c:v>
                </c:pt>
                <c:pt idx="115">
                  <c:v>0.69799999999999995</c:v>
                </c:pt>
                <c:pt idx="116">
                  <c:v>0.7</c:v>
                </c:pt>
                <c:pt idx="117">
                  <c:v>0.70099999999999996</c:v>
                </c:pt>
                <c:pt idx="118">
                  <c:v>0.69499999999999995</c:v>
                </c:pt>
                <c:pt idx="119">
                  <c:v>0.65200000000000002</c:v>
                </c:pt>
                <c:pt idx="120">
                  <c:v>0.65200000000000002</c:v>
                </c:pt>
                <c:pt idx="121">
                  <c:v>0.65300000000000002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Tabelle1!$H$1</c:f>
              <c:strCache>
                <c:ptCount val="1"/>
                <c:pt idx="0">
                  <c:v>Hum 3</c:v>
                </c:pt>
              </c:strCache>
            </c:strRef>
          </c:tx>
          <c:marker>
            <c:symbol val="none"/>
          </c:marker>
          <c:xVal>
            <c:numRef>
              <c:f>Tabelle1!$B$2:$B$123</c:f>
              <c:numCache>
                <c:formatCode>dd/mm/yyyy\ hh:mm</c:formatCode>
                <c:ptCount val="122"/>
                <c:pt idx="0">
                  <c:v>43380.599004629628</c:v>
                </c:pt>
                <c:pt idx="1">
                  <c:v>43380.607800925929</c:v>
                </c:pt>
                <c:pt idx="2">
                  <c:v>43380.616631944446</c:v>
                </c:pt>
                <c:pt idx="3">
                  <c:v>43380.625439814816</c:v>
                </c:pt>
                <c:pt idx="4">
                  <c:v>43380.634236111109</c:v>
                </c:pt>
                <c:pt idx="5">
                  <c:v>43380.643043981479</c:v>
                </c:pt>
                <c:pt idx="6">
                  <c:v>43380.65184027778</c:v>
                </c:pt>
                <c:pt idx="7">
                  <c:v>43380.66064814815</c:v>
                </c:pt>
                <c:pt idx="8">
                  <c:v>43380.669444444444</c:v>
                </c:pt>
                <c:pt idx="9">
                  <c:v>43380.67827546296</c:v>
                </c:pt>
                <c:pt idx="10">
                  <c:v>43380.687083333331</c:v>
                </c:pt>
                <c:pt idx="11">
                  <c:v>43380.695879629631</c:v>
                </c:pt>
                <c:pt idx="12">
                  <c:v>43380.704675925925</c:v>
                </c:pt>
                <c:pt idx="13">
                  <c:v>43380.713518518518</c:v>
                </c:pt>
                <c:pt idx="14">
                  <c:v>43380.722314814811</c:v>
                </c:pt>
                <c:pt idx="15">
                  <c:v>43380.731122685182</c:v>
                </c:pt>
                <c:pt idx="16">
                  <c:v>43380.739930555559</c:v>
                </c:pt>
                <c:pt idx="17">
                  <c:v>43380.757962962962</c:v>
                </c:pt>
                <c:pt idx="18">
                  <c:v>43380.766793981478</c:v>
                </c:pt>
                <c:pt idx="19">
                  <c:v>43380.775648148148</c:v>
                </c:pt>
                <c:pt idx="20">
                  <c:v>43380.784479166665</c:v>
                </c:pt>
                <c:pt idx="21">
                  <c:v>43380.793333333335</c:v>
                </c:pt>
                <c:pt idx="22">
                  <c:v>43380.802164351851</c:v>
                </c:pt>
                <c:pt idx="23">
                  <c:v>43380.810995370368</c:v>
                </c:pt>
                <c:pt idx="24">
                  <c:v>43380.819791666669</c:v>
                </c:pt>
                <c:pt idx="25">
                  <c:v>43380.828587962962</c:v>
                </c:pt>
                <c:pt idx="26">
                  <c:v>43380.837395833332</c:v>
                </c:pt>
                <c:pt idx="27">
                  <c:v>43380.846215277779</c:v>
                </c:pt>
                <c:pt idx="28">
                  <c:v>43380.855046296296</c:v>
                </c:pt>
                <c:pt idx="29">
                  <c:v>43380.863854166666</c:v>
                </c:pt>
                <c:pt idx="30">
                  <c:v>43380.872673611113</c:v>
                </c:pt>
                <c:pt idx="31">
                  <c:v>43380.881481481483</c:v>
                </c:pt>
                <c:pt idx="32">
                  <c:v>43380.890277777777</c:v>
                </c:pt>
                <c:pt idx="33">
                  <c:v>43380.899074074077</c:v>
                </c:pt>
                <c:pt idx="34">
                  <c:v>43380.908217592594</c:v>
                </c:pt>
                <c:pt idx="35">
                  <c:v>43380.917013888888</c:v>
                </c:pt>
                <c:pt idx="36">
                  <c:v>43380.925821759258</c:v>
                </c:pt>
                <c:pt idx="37">
                  <c:v>43380.934618055559</c:v>
                </c:pt>
                <c:pt idx="38">
                  <c:v>43380.943449074075</c:v>
                </c:pt>
                <c:pt idx="39">
                  <c:v>43380.952268518522</c:v>
                </c:pt>
                <c:pt idx="40">
                  <c:v>43380.961099537039</c:v>
                </c:pt>
                <c:pt idx="41">
                  <c:v>43380.969930555555</c:v>
                </c:pt>
                <c:pt idx="42">
                  <c:v>43380.978761574072</c:v>
                </c:pt>
                <c:pt idx="43">
                  <c:v>43380.987592592595</c:v>
                </c:pt>
                <c:pt idx="44">
                  <c:v>43380.996412037035</c:v>
                </c:pt>
                <c:pt idx="45">
                  <c:v>43381.005243055559</c:v>
                </c:pt>
                <c:pt idx="46">
                  <c:v>43381.014074074075</c:v>
                </c:pt>
                <c:pt idx="47">
                  <c:v>43381.022905092592</c:v>
                </c:pt>
                <c:pt idx="48">
                  <c:v>43381.031759259262</c:v>
                </c:pt>
                <c:pt idx="49">
                  <c:v>43381.040590277778</c:v>
                </c:pt>
                <c:pt idx="50">
                  <c:v>43381.049421296295</c:v>
                </c:pt>
                <c:pt idx="51">
                  <c:v>43381.058252314811</c:v>
                </c:pt>
                <c:pt idx="52">
                  <c:v>43381.067453703705</c:v>
                </c:pt>
                <c:pt idx="53">
                  <c:v>43381.076284722221</c:v>
                </c:pt>
                <c:pt idx="54">
                  <c:v>43381.085173611114</c:v>
                </c:pt>
                <c:pt idx="55">
                  <c:v>43381.093993055554</c:v>
                </c:pt>
                <c:pt idx="56">
                  <c:v>43381.102824074071</c:v>
                </c:pt>
                <c:pt idx="57">
                  <c:v>43381.111655092594</c:v>
                </c:pt>
                <c:pt idx="58">
                  <c:v>43381.120520833334</c:v>
                </c:pt>
                <c:pt idx="59">
                  <c:v>43381.129351851851</c:v>
                </c:pt>
                <c:pt idx="60">
                  <c:v>43381.147002314814</c:v>
                </c:pt>
                <c:pt idx="61">
                  <c:v>43381.155833333331</c:v>
                </c:pt>
                <c:pt idx="62">
                  <c:v>43381.164664351854</c:v>
                </c:pt>
                <c:pt idx="63">
                  <c:v>43381.173495370371</c:v>
                </c:pt>
                <c:pt idx="64">
                  <c:v>43381.182349537034</c:v>
                </c:pt>
                <c:pt idx="65">
                  <c:v>43381.191180555557</c:v>
                </c:pt>
                <c:pt idx="66">
                  <c:v>43381.200011574074</c:v>
                </c:pt>
                <c:pt idx="67">
                  <c:v>43381.20884259259</c:v>
                </c:pt>
                <c:pt idx="68">
                  <c:v>43381.217662037037</c:v>
                </c:pt>
                <c:pt idx="69">
                  <c:v>43381.235671296294</c:v>
                </c:pt>
                <c:pt idx="70">
                  <c:v>43381.244502314818</c:v>
                </c:pt>
                <c:pt idx="71">
                  <c:v>43381.25335648148</c:v>
                </c:pt>
                <c:pt idx="72">
                  <c:v>43381.262187499997</c:v>
                </c:pt>
                <c:pt idx="73">
                  <c:v>43381.271018518521</c:v>
                </c:pt>
                <c:pt idx="74">
                  <c:v>43381.279849537037</c:v>
                </c:pt>
                <c:pt idx="75">
                  <c:v>43381.288668981484</c:v>
                </c:pt>
                <c:pt idx="76">
                  <c:v>43381.297500000001</c:v>
                </c:pt>
                <c:pt idx="77">
                  <c:v>43381.306331018517</c:v>
                </c:pt>
                <c:pt idx="78">
                  <c:v>43381.315138888887</c:v>
                </c:pt>
                <c:pt idx="79">
                  <c:v>43381.32402777778</c:v>
                </c:pt>
                <c:pt idx="80">
                  <c:v>43381.332835648151</c:v>
                </c:pt>
                <c:pt idx="81">
                  <c:v>43381.341643518521</c:v>
                </c:pt>
                <c:pt idx="82">
                  <c:v>43381.350439814814</c:v>
                </c:pt>
                <c:pt idx="83">
                  <c:v>43381.359247685185</c:v>
                </c:pt>
                <c:pt idx="84">
                  <c:v>43381.368055555555</c:v>
                </c:pt>
                <c:pt idx="85">
                  <c:v>43381.376851851855</c:v>
                </c:pt>
                <c:pt idx="86">
                  <c:v>43381.386030092595</c:v>
                </c:pt>
                <c:pt idx="87">
                  <c:v>43381.394884259258</c:v>
                </c:pt>
                <c:pt idx="88">
                  <c:v>43381.403715277775</c:v>
                </c:pt>
                <c:pt idx="89">
                  <c:v>43381.412523148145</c:v>
                </c:pt>
                <c:pt idx="90">
                  <c:v>43381.421319444446</c:v>
                </c:pt>
                <c:pt idx="91">
                  <c:v>43381.430127314816</c:v>
                </c:pt>
                <c:pt idx="92">
                  <c:v>43381.438923611109</c:v>
                </c:pt>
                <c:pt idx="93">
                  <c:v>43381.44771990741</c:v>
                </c:pt>
                <c:pt idx="94">
                  <c:v>43381.456516203703</c:v>
                </c:pt>
                <c:pt idx="95">
                  <c:v>43381.465324074074</c:v>
                </c:pt>
                <c:pt idx="96">
                  <c:v>43381.474143518521</c:v>
                </c:pt>
                <c:pt idx="97">
                  <c:v>43381.482951388891</c:v>
                </c:pt>
                <c:pt idx="98">
                  <c:v>43381.491770833331</c:v>
                </c:pt>
                <c:pt idx="99">
                  <c:v>43381.500578703701</c:v>
                </c:pt>
                <c:pt idx="100">
                  <c:v>43381.509375000001</c:v>
                </c:pt>
                <c:pt idx="101">
                  <c:v>43381.518171296295</c:v>
                </c:pt>
                <c:pt idx="102">
                  <c:v>43381.526967592596</c:v>
                </c:pt>
                <c:pt idx="103">
                  <c:v>43381.535763888889</c:v>
                </c:pt>
                <c:pt idx="104">
                  <c:v>43381.544907407406</c:v>
                </c:pt>
                <c:pt idx="105">
                  <c:v>43381.553715277776</c:v>
                </c:pt>
                <c:pt idx="106">
                  <c:v>43381.562534722223</c:v>
                </c:pt>
                <c:pt idx="107">
                  <c:v>43381.571342592593</c:v>
                </c:pt>
                <c:pt idx="108">
                  <c:v>43381.580138888887</c:v>
                </c:pt>
                <c:pt idx="109">
                  <c:v>43381.588969907411</c:v>
                </c:pt>
                <c:pt idx="110">
                  <c:v>43381.597766203704</c:v>
                </c:pt>
                <c:pt idx="111">
                  <c:v>43381.60659722222</c:v>
                </c:pt>
                <c:pt idx="112">
                  <c:v>43381.615393518521</c:v>
                </c:pt>
                <c:pt idx="113">
                  <c:v>43381.624224537038</c:v>
                </c:pt>
                <c:pt idx="114">
                  <c:v>43381.633032407408</c:v>
                </c:pt>
                <c:pt idx="115">
                  <c:v>43381.641828703701</c:v>
                </c:pt>
                <c:pt idx="116">
                  <c:v>43381.650625000002</c:v>
                </c:pt>
                <c:pt idx="117">
                  <c:v>43381.659421296295</c:v>
                </c:pt>
                <c:pt idx="118">
                  <c:v>43381.668229166666</c:v>
                </c:pt>
                <c:pt idx="119">
                  <c:v>43381.677025462966</c:v>
                </c:pt>
                <c:pt idx="120">
                  <c:v>43381.68582175926</c:v>
                </c:pt>
                <c:pt idx="121">
                  <c:v>43381.69462962963</c:v>
                </c:pt>
              </c:numCache>
            </c:numRef>
          </c:xVal>
          <c:yVal>
            <c:numRef>
              <c:f>Tabelle1!$H$2:$H$123</c:f>
              <c:numCache>
                <c:formatCode>0.0%</c:formatCode>
                <c:ptCount val="122"/>
                <c:pt idx="0">
                  <c:v>0.52400000000000002</c:v>
                </c:pt>
                <c:pt idx="1">
                  <c:v>0.52500000000000002</c:v>
                </c:pt>
                <c:pt idx="2">
                  <c:v>0.52800000000000002</c:v>
                </c:pt>
                <c:pt idx="3">
                  <c:v>0.53</c:v>
                </c:pt>
                <c:pt idx="4">
                  <c:v>0.53400000000000003</c:v>
                </c:pt>
                <c:pt idx="5">
                  <c:v>0.53900000000000003</c:v>
                </c:pt>
                <c:pt idx="6">
                  <c:v>0.54400000000000004</c:v>
                </c:pt>
                <c:pt idx="7">
                  <c:v>0.54900000000000004</c:v>
                </c:pt>
                <c:pt idx="8">
                  <c:v>0.55000000000000004</c:v>
                </c:pt>
                <c:pt idx="9">
                  <c:v>0.55300000000000005</c:v>
                </c:pt>
                <c:pt idx="10">
                  <c:v>0.56200000000000006</c:v>
                </c:pt>
                <c:pt idx="11">
                  <c:v>0.57299999999999995</c:v>
                </c:pt>
                <c:pt idx="12">
                  <c:v>0.55400000000000005</c:v>
                </c:pt>
                <c:pt idx="13">
                  <c:v>0.56200000000000006</c:v>
                </c:pt>
                <c:pt idx="14">
                  <c:v>0.57199999999999995</c:v>
                </c:pt>
                <c:pt idx="15">
                  <c:v>0.56999999999999995</c:v>
                </c:pt>
                <c:pt idx="16">
                  <c:v>0.56599999999999995</c:v>
                </c:pt>
                <c:pt idx="17">
                  <c:v>0.57499999999999996</c:v>
                </c:pt>
                <c:pt idx="18">
                  <c:v>0.57899999999999996</c:v>
                </c:pt>
                <c:pt idx="19">
                  <c:v>0.57999999999999996</c:v>
                </c:pt>
                <c:pt idx="20">
                  <c:v>0.58399999999999996</c:v>
                </c:pt>
                <c:pt idx="21">
                  <c:v>0.58299999999999996</c:v>
                </c:pt>
                <c:pt idx="22">
                  <c:v>0.57999999999999996</c:v>
                </c:pt>
                <c:pt idx="23">
                  <c:v>0.58299999999999996</c:v>
                </c:pt>
                <c:pt idx="24">
                  <c:v>0.59599999999999997</c:v>
                </c:pt>
                <c:pt idx="25">
                  <c:v>0.59299999999999997</c:v>
                </c:pt>
                <c:pt idx="26">
                  <c:v>0.59199999999999997</c:v>
                </c:pt>
                <c:pt idx="27">
                  <c:v>0.59399999999999997</c:v>
                </c:pt>
                <c:pt idx="28">
                  <c:v>0.59599999999999997</c:v>
                </c:pt>
                <c:pt idx="29">
                  <c:v>0.59799999999999998</c:v>
                </c:pt>
                <c:pt idx="30">
                  <c:v>0.59899999999999998</c:v>
                </c:pt>
                <c:pt idx="31">
                  <c:v>0.6</c:v>
                </c:pt>
                <c:pt idx="32">
                  <c:v>0.60299999999999998</c:v>
                </c:pt>
                <c:pt idx="33">
                  <c:v>0.60499999999999998</c:v>
                </c:pt>
                <c:pt idx="34">
                  <c:v>0.60599999999999998</c:v>
                </c:pt>
                <c:pt idx="35">
                  <c:v>0.60699999999999998</c:v>
                </c:pt>
                <c:pt idx="36">
                  <c:v>0.61</c:v>
                </c:pt>
                <c:pt idx="37">
                  <c:v>0.61099999999999999</c:v>
                </c:pt>
                <c:pt idx="38">
                  <c:v>0.61199999999999999</c:v>
                </c:pt>
                <c:pt idx="39">
                  <c:v>0.61499999999999999</c:v>
                </c:pt>
                <c:pt idx="40">
                  <c:v>0.61799999999999999</c:v>
                </c:pt>
                <c:pt idx="41">
                  <c:v>0.623</c:v>
                </c:pt>
                <c:pt idx="42">
                  <c:v>0.625</c:v>
                </c:pt>
                <c:pt idx="43">
                  <c:v>0.626</c:v>
                </c:pt>
                <c:pt idx="44">
                  <c:v>0.627</c:v>
                </c:pt>
                <c:pt idx="45">
                  <c:v>0.628</c:v>
                </c:pt>
                <c:pt idx="46">
                  <c:v>0.628</c:v>
                </c:pt>
                <c:pt idx="47">
                  <c:v>0.63</c:v>
                </c:pt>
                <c:pt idx="48">
                  <c:v>0.63100000000000001</c:v>
                </c:pt>
                <c:pt idx="49">
                  <c:v>0.63200000000000001</c:v>
                </c:pt>
                <c:pt idx="50">
                  <c:v>0.63400000000000001</c:v>
                </c:pt>
                <c:pt idx="51">
                  <c:v>0.63400000000000001</c:v>
                </c:pt>
                <c:pt idx="52">
                  <c:v>0.63500000000000001</c:v>
                </c:pt>
                <c:pt idx="53">
                  <c:v>0.63600000000000001</c:v>
                </c:pt>
                <c:pt idx="54">
                  <c:v>0.63700000000000001</c:v>
                </c:pt>
                <c:pt idx="55">
                  <c:v>0.63700000000000001</c:v>
                </c:pt>
                <c:pt idx="56">
                  <c:v>0.63900000000000001</c:v>
                </c:pt>
                <c:pt idx="57">
                  <c:v>0.63900000000000001</c:v>
                </c:pt>
                <c:pt idx="58">
                  <c:v>0.64</c:v>
                </c:pt>
                <c:pt idx="59">
                  <c:v>0.64</c:v>
                </c:pt>
                <c:pt idx="60">
                  <c:v>0.64200000000000002</c:v>
                </c:pt>
                <c:pt idx="61">
                  <c:v>0.64300000000000002</c:v>
                </c:pt>
                <c:pt idx="62">
                  <c:v>0.64400000000000002</c:v>
                </c:pt>
                <c:pt idx="63">
                  <c:v>0.64500000000000002</c:v>
                </c:pt>
                <c:pt idx="64">
                  <c:v>0.64600000000000002</c:v>
                </c:pt>
                <c:pt idx="65">
                  <c:v>0.64700000000000002</c:v>
                </c:pt>
                <c:pt idx="66">
                  <c:v>0.64800000000000002</c:v>
                </c:pt>
                <c:pt idx="67">
                  <c:v>0.64800000000000002</c:v>
                </c:pt>
                <c:pt idx="68">
                  <c:v>0.64900000000000002</c:v>
                </c:pt>
                <c:pt idx="69">
                  <c:v>0.65</c:v>
                </c:pt>
                <c:pt idx="70">
                  <c:v>0.65100000000000002</c:v>
                </c:pt>
                <c:pt idx="71">
                  <c:v>0.65100000000000002</c:v>
                </c:pt>
                <c:pt idx="72">
                  <c:v>0.65200000000000002</c:v>
                </c:pt>
                <c:pt idx="73">
                  <c:v>0.65500000000000003</c:v>
                </c:pt>
                <c:pt idx="74">
                  <c:v>0.65700000000000003</c:v>
                </c:pt>
                <c:pt idx="75">
                  <c:v>0.65700000000000003</c:v>
                </c:pt>
                <c:pt idx="76">
                  <c:v>0.65900000000000003</c:v>
                </c:pt>
                <c:pt idx="77">
                  <c:v>0.65900000000000003</c:v>
                </c:pt>
                <c:pt idx="78">
                  <c:v>0.65900000000000003</c:v>
                </c:pt>
                <c:pt idx="79">
                  <c:v>0.66200000000000003</c:v>
                </c:pt>
                <c:pt idx="80">
                  <c:v>0.66500000000000004</c:v>
                </c:pt>
                <c:pt idx="81">
                  <c:v>0.66500000000000004</c:v>
                </c:pt>
                <c:pt idx="82">
                  <c:v>0.66500000000000004</c:v>
                </c:pt>
                <c:pt idx="83">
                  <c:v>0.66600000000000004</c:v>
                </c:pt>
                <c:pt idx="84">
                  <c:v>0.66400000000000003</c:v>
                </c:pt>
                <c:pt idx="85">
                  <c:v>0.66300000000000003</c:v>
                </c:pt>
                <c:pt idx="86">
                  <c:v>0.66200000000000003</c:v>
                </c:pt>
                <c:pt idx="87">
                  <c:v>0.66200000000000003</c:v>
                </c:pt>
                <c:pt idx="88">
                  <c:v>0.66500000000000004</c:v>
                </c:pt>
                <c:pt idx="89">
                  <c:v>0.66900000000000004</c:v>
                </c:pt>
                <c:pt idx="90">
                  <c:v>0.67</c:v>
                </c:pt>
                <c:pt idx="91">
                  <c:v>0.67</c:v>
                </c:pt>
                <c:pt idx="92">
                  <c:v>0.68700000000000006</c:v>
                </c:pt>
                <c:pt idx="93">
                  <c:v>0.70199999999999996</c:v>
                </c:pt>
                <c:pt idx="94">
                  <c:v>0.69499999999999995</c:v>
                </c:pt>
                <c:pt idx="95">
                  <c:v>0.68799999999999994</c:v>
                </c:pt>
                <c:pt idx="96">
                  <c:v>0.68</c:v>
                </c:pt>
                <c:pt idx="97">
                  <c:v>0.67200000000000004</c:v>
                </c:pt>
                <c:pt idx="98">
                  <c:v>0.66700000000000004</c:v>
                </c:pt>
                <c:pt idx="99">
                  <c:v>0.66100000000000003</c:v>
                </c:pt>
                <c:pt idx="100">
                  <c:v>0.65700000000000003</c:v>
                </c:pt>
                <c:pt idx="101">
                  <c:v>0.65500000000000003</c:v>
                </c:pt>
                <c:pt idx="102">
                  <c:v>0.65600000000000003</c:v>
                </c:pt>
                <c:pt idx="103">
                  <c:v>0.65500000000000003</c:v>
                </c:pt>
                <c:pt idx="104">
                  <c:v>0.65500000000000003</c:v>
                </c:pt>
                <c:pt idx="105">
                  <c:v>0.65300000000000002</c:v>
                </c:pt>
                <c:pt idx="106">
                  <c:v>0.65300000000000002</c:v>
                </c:pt>
                <c:pt idx="107">
                  <c:v>0.65300000000000002</c:v>
                </c:pt>
                <c:pt idx="108">
                  <c:v>0.65100000000000002</c:v>
                </c:pt>
                <c:pt idx="109">
                  <c:v>0.65100000000000002</c:v>
                </c:pt>
                <c:pt idx="110">
                  <c:v>0.65200000000000002</c:v>
                </c:pt>
                <c:pt idx="111">
                  <c:v>0.65600000000000003</c:v>
                </c:pt>
                <c:pt idx="112">
                  <c:v>0.66100000000000003</c:v>
                </c:pt>
                <c:pt idx="113">
                  <c:v>0.66700000000000004</c:v>
                </c:pt>
                <c:pt idx="114">
                  <c:v>0.67600000000000005</c:v>
                </c:pt>
                <c:pt idx="115">
                  <c:v>0.68300000000000005</c:v>
                </c:pt>
                <c:pt idx="116">
                  <c:v>0.68500000000000005</c:v>
                </c:pt>
                <c:pt idx="117">
                  <c:v>0.67700000000000005</c:v>
                </c:pt>
                <c:pt idx="118">
                  <c:v>0.66500000000000004</c:v>
                </c:pt>
                <c:pt idx="119">
                  <c:v>0.63600000000000001</c:v>
                </c:pt>
                <c:pt idx="120">
                  <c:v>0.63600000000000001</c:v>
                </c:pt>
                <c:pt idx="121">
                  <c:v>0.63500000000000001</c:v>
                </c:pt>
              </c:numCache>
            </c:numRef>
          </c:yVal>
          <c:smooth val="1"/>
        </c:ser>
        <c:axId val="189706240"/>
        <c:axId val="186873344"/>
      </c:scatterChart>
      <c:valAx>
        <c:axId val="185986432"/>
        <c:scaling>
          <c:orientation val="minMax"/>
        </c:scaling>
        <c:axPos val="b"/>
        <c:numFmt formatCode="dd/mm/yyyy\ hh:mm" sourceLinked="1"/>
        <c:tickLblPos val="nextTo"/>
        <c:crossAx val="185984896"/>
        <c:crosses val="autoZero"/>
        <c:crossBetween val="midCat"/>
      </c:valAx>
      <c:valAx>
        <c:axId val="185984896"/>
        <c:scaling>
          <c:orientation val="minMax"/>
        </c:scaling>
        <c:axPos val="l"/>
        <c:majorGridlines/>
        <c:numFmt formatCode="0.0" sourceLinked="1"/>
        <c:tickLblPos val="nextTo"/>
        <c:crossAx val="185986432"/>
        <c:crosses val="autoZero"/>
        <c:crossBetween val="midCat"/>
      </c:valAx>
      <c:valAx>
        <c:axId val="186873344"/>
        <c:scaling>
          <c:orientation val="minMax"/>
          <c:max val="1"/>
          <c:min val="0.1"/>
        </c:scaling>
        <c:axPos val="r"/>
        <c:numFmt formatCode="0.0%" sourceLinked="1"/>
        <c:tickLblPos val="nextTo"/>
        <c:crossAx val="189706240"/>
        <c:crosses val="max"/>
        <c:crossBetween val="midCat"/>
      </c:valAx>
      <c:valAx>
        <c:axId val="189706240"/>
        <c:scaling>
          <c:orientation val="minMax"/>
        </c:scaling>
        <c:delete val="1"/>
        <c:axPos val="b"/>
        <c:numFmt formatCode="dd/mm/yyyy\ hh:mm" sourceLinked="1"/>
        <c:tickLblPos val="none"/>
        <c:crossAx val="186873344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126</xdr:row>
      <xdr:rowOff>53340</xdr:rowOff>
    </xdr:from>
    <xdr:to>
      <xdr:col>17</xdr:col>
      <xdr:colOff>281940</xdr:colOff>
      <xdr:row>155</xdr:row>
      <xdr:rowOff>114300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167640</xdr:colOff>
      <xdr:row>0</xdr:row>
      <xdr:rowOff>114300</xdr:rowOff>
    </xdr:from>
    <xdr:to>
      <xdr:col>17</xdr:col>
      <xdr:colOff>320040</xdr:colOff>
      <xdr:row>29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121920</xdr:colOff>
      <xdr:row>39</xdr:row>
      <xdr:rowOff>106680</xdr:rowOff>
    </xdr:from>
    <xdr:to>
      <xdr:col>17</xdr:col>
      <xdr:colOff>327660</xdr:colOff>
      <xdr:row>69</xdr:row>
      <xdr:rowOff>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O124"/>
  <sheetViews>
    <sheetView tabSelected="1" workbookViewId="0">
      <selection activeCell="H123" sqref="B1:H123"/>
    </sheetView>
  </sheetViews>
  <sheetFormatPr baseColWidth="10" defaultRowHeight="14.4"/>
  <sheetData>
    <row r="1" spans="1:15">
      <c r="A1" t="s">
        <v>0</v>
      </c>
      <c r="B1" t="s">
        <v>124</v>
      </c>
      <c r="C1" s="2" t="s">
        <v>125</v>
      </c>
      <c r="D1" s="2" t="s">
        <v>126</v>
      </c>
      <c r="E1" s="2" t="s">
        <v>127</v>
      </c>
      <c r="F1" s="3" t="s">
        <v>128</v>
      </c>
      <c r="G1" s="3" t="s">
        <v>129</v>
      </c>
      <c r="H1" s="3" t="s">
        <v>130</v>
      </c>
      <c r="I1" s="3" t="s">
        <v>134</v>
      </c>
      <c r="J1" s="3" t="s">
        <v>131</v>
      </c>
      <c r="K1" s="3" t="s">
        <v>132</v>
      </c>
      <c r="L1" s="3" t="s">
        <v>133</v>
      </c>
      <c r="M1" s="2" t="s">
        <v>131</v>
      </c>
      <c r="N1" s="2" t="s">
        <v>132</v>
      </c>
      <c r="O1" s="2" t="s">
        <v>133</v>
      </c>
    </row>
    <row r="2" spans="1:15">
      <c r="A2" t="s">
        <v>1</v>
      </c>
      <c r="B2" s="1">
        <v>43380.599004629628</v>
      </c>
      <c r="C2" s="2">
        <v>17.899999999999999</v>
      </c>
      <c r="D2" s="2">
        <v>18.2</v>
      </c>
      <c r="E2" s="2">
        <v>18</v>
      </c>
      <c r="F2" s="3">
        <v>0.55200000000000005</v>
      </c>
      <c r="G2" s="3">
        <v>0.53300000000000003</v>
      </c>
      <c r="H2" s="3">
        <v>0.52400000000000002</v>
      </c>
      <c r="I2" s="2">
        <f>AVERAGE(J2:L2)*100-1</f>
        <v>24.872019029599873</v>
      </c>
      <c r="J2" s="4">
        <f t="shared" ref="J2:J63" si="0">1000/M2</f>
        <v>0.20222446916076844</v>
      </c>
      <c r="K2" s="4">
        <f t="shared" ref="K2:K63" si="1">1000/N2</f>
        <v>0.33366700033366697</v>
      </c>
      <c r="L2" s="4">
        <f t="shared" ref="L2:L63" si="2">1000/O2</f>
        <v>0.24026910139356078</v>
      </c>
      <c r="M2" s="2">
        <v>4945</v>
      </c>
      <c r="N2" s="2">
        <v>2997</v>
      </c>
      <c r="O2" s="2">
        <v>4162</v>
      </c>
    </row>
    <row r="3" spans="1:15">
      <c r="A3" t="s">
        <v>2</v>
      </c>
      <c r="B3" s="1">
        <v>43380.607800925929</v>
      </c>
      <c r="C3" s="2">
        <v>17.899999999999999</v>
      </c>
      <c r="D3" s="2">
        <v>18.100000000000001</v>
      </c>
      <c r="E3" s="2">
        <v>17.899999999999999</v>
      </c>
      <c r="F3" s="3">
        <v>0.55300000000000005</v>
      </c>
      <c r="G3" s="3">
        <v>0.53500000000000003</v>
      </c>
      <c r="H3" s="3">
        <v>0.52500000000000002</v>
      </c>
      <c r="I3" s="2">
        <f t="shared" ref="I3:I66" si="3">AVERAGE(J3:L3)*100-1</f>
        <v>22.202304961185781</v>
      </c>
      <c r="J3" s="4">
        <f t="shared" si="0"/>
        <v>0.18484288354898337</v>
      </c>
      <c r="K3" s="4">
        <f t="shared" si="1"/>
        <v>0.3003003003003003</v>
      </c>
      <c r="L3" s="4">
        <f t="shared" si="2"/>
        <v>0.21092596498628982</v>
      </c>
      <c r="M3" s="2">
        <v>5410</v>
      </c>
      <c r="N3" s="2">
        <v>3330</v>
      </c>
      <c r="O3" s="2">
        <v>4741</v>
      </c>
    </row>
    <row r="4" spans="1:15">
      <c r="A4" t="s">
        <v>3</v>
      </c>
      <c r="B4" s="1">
        <v>43380.616631944446</v>
      </c>
      <c r="C4" s="2">
        <v>17.899999999999999</v>
      </c>
      <c r="D4" s="2">
        <v>18</v>
      </c>
      <c r="E4" s="2">
        <v>17.899999999999999</v>
      </c>
      <c r="F4" s="3">
        <v>0.55800000000000005</v>
      </c>
      <c r="G4" s="3">
        <v>0.53900000000000003</v>
      </c>
      <c r="H4" s="3">
        <v>0.52800000000000002</v>
      </c>
      <c r="I4" s="2">
        <f t="shared" si="3"/>
        <v>20.051557698543558</v>
      </c>
      <c r="J4" s="4">
        <f t="shared" si="0"/>
        <v>0.16396130513198884</v>
      </c>
      <c r="K4" s="4">
        <f t="shared" si="1"/>
        <v>0.27685492801771872</v>
      </c>
      <c r="L4" s="4">
        <f t="shared" si="2"/>
        <v>0.19073049780659929</v>
      </c>
      <c r="M4" s="2">
        <v>6099</v>
      </c>
      <c r="N4" s="2">
        <v>3612</v>
      </c>
      <c r="O4" s="2">
        <v>5243</v>
      </c>
    </row>
    <row r="5" spans="1:15">
      <c r="A5" t="s">
        <v>4</v>
      </c>
      <c r="B5" s="1">
        <v>43380.625439814816</v>
      </c>
      <c r="C5" s="2">
        <v>17.8</v>
      </c>
      <c r="D5" s="2">
        <v>18</v>
      </c>
      <c r="E5" s="2">
        <v>17.899999999999999</v>
      </c>
      <c r="F5" s="3">
        <v>0.56000000000000005</v>
      </c>
      <c r="G5" s="3">
        <v>0.54200000000000004</v>
      </c>
      <c r="H5" s="3">
        <v>0.53</v>
      </c>
      <c r="I5" s="2">
        <f t="shared" si="3"/>
        <v>18.375864813024126</v>
      </c>
      <c r="J5" s="4">
        <f t="shared" si="0"/>
        <v>0.1529051987767584</v>
      </c>
      <c r="K5" s="4">
        <f t="shared" si="1"/>
        <v>0.2560163850486431</v>
      </c>
      <c r="L5" s="4">
        <f t="shared" si="2"/>
        <v>0.1723543605653223</v>
      </c>
      <c r="M5" s="2">
        <v>6540</v>
      </c>
      <c r="N5" s="2">
        <v>3906</v>
      </c>
      <c r="O5" s="2">
        <v>5802</v>
      </c>
    </row>
    <row r="6" spans="1:15">
      <c r="A6" t="s">
        <v>5</v>
      </c>
      <c r="B6" s="1">
        <v>43380.634236111109</v>
      </c>
      <c r="C6" s="2">
        <v>17.899999999999999</v>
      </c>
      <c r="D6" s="2">
        <v>18</v>
      </c>
      <c r="E6" s="2">
        <v>17.899999999999999</v>
      </c>
      <c r="F6" s="3">
        <v>0.56200000000000006</v>
      </c>
      <c r="G6" s="3">
        <v>0.54500000000000004</v>
      </c>
      <c r="H6" s="3">
        <v>0.53400000000000003</v>
      </c>
      <c r="I6" s="2">
        <f t="shared" si="3"/>
        <v>17.458078407757586</v>
      </c>
      <c r="J6" s="4">
        <f t="shared" si="0"/>
        <v>0.14773230905599055</v>
      </c>
      <c r="K6" s="4">
        <f t="shared" si="1"/>
        <v>0.24242424242424243</v>
      </c>
      <c r="L6" s="4">
        <f t="shared" si="2"/>
        <v>0.16358580075249468</v>
      </c>
      <c r="M6" s="2">
        <v>6769</v>
      </c>
      <c r="N6" s="2">
        <v>4125</v>
      </c>
      <c r="O6" s="2">
        <v>6113</v>
      </c>
    </row>
    <row r="7" spans="1:15">
      <c r="A7" t="s">
        <v>6</v>
      </c>
      <c r="B7" s="1">
        <v>43380.643043981479</v>
      </c>
      <c r="C7" s="2">
        <v>17.899999999999999</v>
      </c>
      <c r="D7" s="2">
        <v>18</v>
      </c>
      <c r="E7" s="2">
        <v>17.899999999999999</v>
      </c>
      <c r="F7" s="3">
        <v>0.56899999999999995</v>
      </c>
      <c r="G7" s="3">
        <v>0.55100000000000005</v>
      </c>
      <c r="H7" s="3">
        <v>0.53900000000000003</v>
      </c>
      <c r="I7" s="2">
        <f t="shared" si="3"/>
        <v>15.732243975163396</v>
      </c>
      <c r="J7" s="4">
        <f t="shared" si="0"/>
        <v>0.13099292638197538</v>
      </c>
      <c r="K7" s="4">
        <f t="shared" si="1"/>
        <v>0.22466861379465289</v>
      </c>
      <c r="L7" s="4">
        <f t="shared" si="2"/>
        <v>0.14630577907827358</v>
      </c>
      <c r="M7" s="2">
        <v>7634</v>
      </c>
      <c r="N7" s="2">
        <v>4451</v>
      </c>
      <c r="O7" s="2">
        <v>6835</v>
      </c>
    </row>
    <row r="8" spans="1:15">
      <c r="A8" t="s">
        <v>7</v>
      </c>
      <c r="B8" s="1">
        <v>43380.65184027778</v>
      </c>
      <c r="C8" s="2">
        <v>17.8</v>
      </c>
      <c r="D8" s="2">
        <v>18</v>
      </c>
      <c r="E8" s="2">
        <v>17.8</v>
      </c>
      <c r="F8" s="3">
        <v>0.57199999999999995</v>
      </c>
      <c r="G8" s="3">
        <v>0.55500000000000005</v>
      </c>
      <c r="H8" s="3">
        <v>0.54400000000000004</v>
      </c>
      <c r="I8" s="2">
        <f t="shared" si="3"/>
        <v>19.594224854562256</v>
      </c>
      <c r="J8" s="4">
        <f t="shared" si="0"/>
        <v>0.16231131309852298</v>
      </c>
      <c r="K8" s="4">
        <f t="shared" si="1"/>
        <v>0.2701242571582928</v>
      </c>
      <c r="L8" s="4">
        <f t="shared" si="2"/>
        <v>0.1853911753800519</v>
      </c>
      <c r="M8" s="2">
        <v>6161</v>
      </c>
      <c r="N8" s="2">
        <v>3702</v>
      </c>
      <c r="O8" s="2">
        <v>5394</v>
      </c>
    </row>
    <row r="9" spans="1:15">
      <c r="A9" t="s">
        <v>8</v>
      </c>
      <c r="B9" s="1">
        <v>43380.66064814815</v>
      </c>
      <c r="C9" s="2">
        <v>17.899999999999999</v>
      </c>
      <c r="D9" s="2">
        <v>18</v>
      </c>
      <c r="E9" s="2">
        <v>17.899999999999999</v>
      </c>
      <c r="F9" s="3">
        <v>0.57799999999999996</v>
      </c>
      <c r="G9" s="3">
        <v>0.56100000000000005</v>
      </c>
      <c r="H9" s="3">
        <v>0.54900000000000004</v>
      </c>
      <c r="I9" s="2">
        <f t="shared" si="3"/>
        <v>15.840377938911054</v>
      </c>
      <c r="J9" s="4">
        <f t="shared" si="0"/>
        <v>0.13083867591259976</v>
      </c>
      <c r="K9" s="4">
        <f t="shared" si="1"/>
        <v>0.22406453058480844</v>
      </c>
      <c r="L9" s="4">
        <f t="shared" si="2"/>
        <v>0.15030813166992335</v>
      </c>
      <c r="M9" s="2">
        <v>7643</v>
      </c>
      <c r="N9" s="2">
        <v>4463</v>
      </c>
      <c r="O9" s="2">
        <v>6653</v>
      </c>
    </row>
    <row r="10" spans="1:15">
      <c r="A10" t="s">
        <v>9</v>
      </c>
      <c r="B10" s="1">
        <v>43380.669444444444</v>
      </c>
      <c r="C10" s="2">
        <v>17.899999999999999</v>
      </c>
      <c r="D10" s="2">
        <v>18</v>
      </c>
      <c r="E10" s="2">
        <v>17.899999999999999</v>
      </c>
      <c r="F10" s="3">
        <v>0.57799999999999996</v>
      </c>
      <c r="G10" s="3">
        <v>0.56299999999999994</v>
      </c>
      <c r="H10" s="3">
        <v>0.55000000000000004</v>
      </c>
      <c r="I10" s="2">
        <f t="shared" si="3"/>
        <v>15.311101104637807</v>
      </c>
      <c r="J10" s="4">
        <f t="shared" si="0"/>
        <v>0.1290822253775655</v>
      </c>
      <c r="K10" s="4">
        <f t="shared" si="1"/>
        <v>0.21500752526338421</v>
      </c>
      <c r="L10" s="4">
        <f t="shared" si="2"/>
        <v>0.14524328249818447</v>
      </c>
      <c r="M10" s="2">
        <v>7747</v>
      </c>
      <c r="N10" s="2">
        <v>4651</v>
      </c>
      <c r="O10" s="2">
        <v>6885</v>
      </c>
    </row>
    <row r="11" spans="1:15">
      <c r="A11" t="s">
        <v>10</v>
      </c>
      <c r="B11" s="1">
        <v>43380.67827546296</v>
      </c>
      <c r="C11" s="2">
        <v>17.899999999999999</v>
      </c>
      <c r="D11" s="2">
        <v>18</v>
      </c>
      <c r="E11" s="2">
        <v>17.899999999999999</v>
      </c>
      <c r="F11" s="3">
        <v>0.58199999999999996</v>
      </c>
      <c r="G11" s="3">
        <v>0.56499999999999995</v>
      </c>
      <c r="H11" s="3">
        <v>0.55300000000000005</v>
      </c>
      <c r="I11" s="2">
        <f t="shared" si="3"/>
        <v>14.722949048647752</v>
      </c>
      <c r="J11" s="4">
        <f t="shared" si="0"/>
        <v>0.12088974854932302</v>
      </c>
      <c r="K11" s="4">
        <f t="shared" si="1"/>
        <v>0.21177467174925879</v>
      </c>
      <c r="L11" s="4">
        <f t="shared" si="2"/>
        <v>0.13902405116085081</v>
      </c>
      <c r="M11" s="2">
        <v>8272</v>
      </c>
      <c r="N11" s="2">
        <v>4722</v>
      </c>
      <c r="O11" s="2">
        <v>7193</v>
      </c>
    </row>
    <row r="12" spans="1:15">
      <c r="A12" t="s">
        <v>11</v>
      </c>
      <c r="B12" s="1">
        <v>43380.687083333331</v>
      </c>
      <c r="C12" s="2">
        <v>17.899999999999999</v>
      </c>
      <c r="D12" s="2">
        <v>18</v>
      </c>
      <c r="E12" s="2">
        <v>17.899999999999999</v>
      </c>
      <c r="F12" s="3">
        <v>0.59099999999999997</v>
      </c>
      <c r="G12" s="3">
        <v>0.57399999999999995</v>
      </c>
      <c r="H12" s="3">
        <v>0.56200000000000006</v>
      </c>
      <c r="I12" s="2">
        <f t="shared" si="3"/>
        <v>14.199739504311452</v>
      </c>
      <c r="J12" s="4">
        <f t="shared" si="0"/>
        <v>0.11917530687641521</v>
      </c>
      <c r="K12" s="4">
        <f t="shared" si="1"/>
        <v>0.2032520325203252</v>
      </c>
      <c r="L12" s="4">
        <f t="shared" si="2"/>
        <v>0.13356484573260319</v>
      </c>
      <c r="M12" s="2">
        <v>8391</v>
      </c>
      <c r="N12" s="2">
        <v>4920</v>
      </c>
      <c r="O12" s="2">
        <v>7487</v>
      </c>
    </row>
    <row r="13" spans="1:15">
      <c r="A13" t="s">
        <v>12</v>
      </c>
      <c r="B13" s="1">
        <v>43380.695879629631</v>
      </c>
      <c r="C13" s="2">
        <v>17.899999999999999</v>
      </c>
      <c r="D13" s="2">
        <v>18</v>
      </c>
      <c r="E13" s="2">
        <v>17.899999999999999</v>
      </c>
      <c r="F13" s="3">
        <v>0.60199999999999998</v>
      </c>
      <c r="G13" s="3">
        <v>0.58599999999999997</v>
      </c>
      <c r="H13" s="3">
        <v>0.57299999999999995</v>
      </c>
      <c r="I13" s="2">
        <f t="shared" si="3"/>
        <v>12.949731941254488</v>
      </c>
      <c r="J13" s="4">
        <f t="shared" si="0"/>
        <v>0.10700909577314072</v>
      </c>
      <c r="K13" s="4">
        <f t="shared" si="1"/>
        <v>0.19000570017100513</v>
      </c>
      <c r="L13" s="4">
        <f t="shared" si="2"/>
        <v>0.12147716229348883</v>
      </c>
      <c r="M13" s="2">
        <v>9345</v>
      </c>
      <c r="N13" s="2">
        <v>5263</v>
      </c>
      <c r="O13" s="2">
        <v>8232</v>
      </c>
    </row>
    <row r="14" spans="1:15">
      <c r="A14" t="s">
        <v>13</v>
      </c>
      <c r="B14" s="1">
        <v>43380.704675925925</v>
      </c>
      <c r="C14" s="2">
        <v>17.7</v>
      </c>
      <c r="D14" s="2">
        <v>17.8</v>
      </c>
      <c r="E14" s="2">
        <v>17.7</v>
      </c>
      <c r="F14" s="3">
        <v>0.58599999999999997</v>
      </c>
      <c r="G14" s="3">
        <v>0.56999999999999995</v>
      </c>
      <c r="H14" s="3">
        <v>0.55400000000000005</v>
      </c>
      <c r="I14" s="2">
        <f t="shared" si="3"/>
        <v>12.908613659716471</v>
      </c>
      <c r="J14" s="4">
        <f t="shared" si="0"/>
        <v>0.10908694229300753</v>
      </c>
      <c r="K14" s="4">
        <f t="shared" si="1"/>
        <v>0.18825301204819278</v>
      </c>
      <c r="L14" s="4">
        <f t="shared" si="2"/>
        <v>0.1199184554502938</v>
      </c>
      <c r="M14" s="2">
        <v>9167</v>
      </c>
      <c r="N14" s="2">
        <v>5312</v>
      </c>
      <c r="O14" s="2">
        <v>8339</v>
      </c>
    </row>
    <row r="15" spans="1:15">
      <c r="A15" t="s">
        <v>14</v>
      </c>
      <c r="B15" s="1">
        <v>43380.713518518518</v>
      </c>
      <c r="C15" s="2">
        <v>15.8</v>
      </c>
      <c r="D15" s="2">
        <v>16.5</v>
      </c>
      <c r="E15" s="2">
        <v>16.399999999999999</v>
      </c>
      <c r="F15" s="3">
        <v>0.60599999999999998</v>
      </c>
      <c r="G15" s="3">
        <v>0.57099999999999995</v>
      </c>
      <c r="H15" s="3">
        <v>0.56200000000000006</v>
      </c>
      <c r="I15" s="2">
        <f t="shared" si="3"/>
        <v>10.271636772177358</v>
      </c>
      <c r="J15" s="4">
        <f t="shared" si="0"/>
        <v>8.7123192193761981E-2</v>
      </c>
      <c r="K15" s="4">
        <f t="shared" si="1"/>
        <v>0.15523129462899721</v>
      </c>
      <c r="L15" s="4">
        <f t="shared" si="2"/>
        <v>9.5794616342561548E-2</v>
      </c>
      <c r="M15" s="2">
        <v>11478</v>
      </c>
      <c r="N15" s="2">
        <v>6442</v>
      </c>
      <c r="O15" s="2">
        <v>10439</v>
      </c>
    </row>
    <row r="16" spans="1:15">
      <c r="A16" t="s">
        <v>15</v>
      </c>
      <c r="B16" s="1">
        <v>43380.722314814811</v>
      </c>
      <c r="C16" s="2">
        <v>15.3</v>
      </c>
      <c r="D16" s="2">
        <v>16</v>
      </c>
      <c r="E16" s="2">
        <v>15.9</v>
      </c>
      <c r="F16" s="3">
        <v>0.61799999999999999</v>
      </c>
      <c r="G16" s="3">
        <v>0.57799999999999996</v>
      </c>
      <c r="H16" s="3">
        <v>0.57199999999999995</v>
      </c>
      <c r="I16" s="2">
        <f t="shared" si="3"/>
        <v>10.536076110680478</v>
      </c>
      <c r="J16" s="4">
        <f t="shared" si="0"/>
        <v>9.0090090090090086E-2</v>
      </c>
      <c r="K16" s="4">
        <f t="shared" si="1"/>
        <v>0.15765410688948447</v>
      </c>
      <c r="L16" s="4">
        <f t="shared" si="2"/>
        <v>9.8338086340839806E-2</v>
      </c>
      <c r="M16" s="2">
        <v>11100</v>
      </c>
      <c r="N16" s="2">
        <v>6343</v>
      </c>
      <c r="O16" s="2">
        <v>10169</v>
      </c>
    </row>
    <row r="17" spans="1:15">
      <c r="A17" t="s">
        <v>16</v>
      </c>
      <c r="B17" s="1">
        <v>43380.731122685182</v>
      </c>
      <c r="C17" s="2">
        <v>15.3</v>
      </c>
      <c r="D17" s="2">
        <v>16</v>
      </c>
      <c r="E17" s="2">
        <v>15.7</v>
      </c>
      <c r="F17" s="3">
        <v>0.61899999999999999</v>
      </c>
      <c r="G17" s="3">
        <v>0.57599999999999996</v>
      </c>
      <c r="H17" s="3">
        <v>0.56999999999999995</v>
      </c>
      <c r="I17" s="2">
        <f t="shared" si="3"/>
        <v>8.6101454969476787</v>
      </c>
      <c r="J17" s="4">
        <f t="shared" si="0"/>
        <v>7.4443534579021808E-2</v>
      </c>
      <c r="K17" s="4">
        <f t="shared" si="1"/>
        <v>0.13408420488066505</v>
      </c>
      <c r="L17" s="4">
        <f t="shared" si="2"/>
        <v>7.9776625448743518E-2</v>
      </c>
      <c r="M17" s="2">
        <v>13433</v>
      </c>
      <c r="N17" s="2">
        <v>7458</v>
      </c>
      <c r="O17" s="2">
        <v>12535</v>
      </c>
    </row>
    <row r="18" spans="1:15">
      <c r="A18" t="s">
        <v>17</v>
      </c>
      <c r="B18" s="1">
        <v>43380.739930555559</v>
      </c>
      <c r="C18" s="2">
        <v>15.9</v>
      </c>
      <c r="D18" s="2">
        <v>16.2</v>
      </c>
      <c r="E18" s="2">
        <v>16</v>
      </c>
      <c r="F18" s="3">
        <v>0.60399999999999998</v>
      </c>
      <c r="G18" s="3">
        <v>0.57399999999999995</v>
      </c>
      <c r="H18" s="3">
        <v>0.56599999999999995</v>
      </c>
      <c r="I18" s="2">
        <f t="shared" si="3"/>
        <v>4.8074737407469135</v>
      </c>
      <c r="J18" s="4">
        <f t="shared" si="0"/>
        <v>4.8206710374084069E-2</v>
      </c>
      <c r="K18" s="4">
        <f t="shared" si="1"/>
        <v>7.7101002313030076E-2</v>
      </c>
      <c r="L18" s="4">
        <f t="shared" si="2"/>
        <v>4.8916499535293256E-2</v>
      </c>
      <c r="M18" s="2">
        <v>20744</v>
      </c>
      <c r="N18" s="2">
        <v>12970</v>
      </c>
      <c r="O18" s="2">
        <v>20443</v>
      </c>
    </row>
    <row r="19" spans="1:15">
      <c r="A19" t="s">
        <v>18</v>
      </c>
      <c r="B19" s="1">
        <v>43380.757962962962</v>
      </c>
      <c r="C19" s="2">
        <v>15.6</v>
      </c>
      <c r="D19" s="2">
        <v>15.3</v>
      </c>
      <c r="E19" s="2">
        <v>15.3</v>
      </c>
      <c r="F19" s="3">
        <v>0.60099999999999998</v>
      </c>
      <c r="G19" s="3">
        <v>0.59599999999999997</v>
      </c>
      <c r="H19" s="3">
        <v>0.57499999999999996</v>
      </c>
      <c r="I19" s="2">
        <f t="shared" si="3"/>
        <v>0.62206072562101378</v>
      </c>
      <c r="J19" s="4">
        <f t="shared" si="0"/>
        <v>1.3174362690204861E-2</v>
      </c>
      <c r="K19" s="4">
        <f t="shared" si="1"/>
        <v>2.4868816990375769E-2</v>
      </c>
      <c r="L19" s="4">
        <f t="shared" si="2"/>
        <v>1.061864208804978E-2</v>
      </c>
      <c r="M19" s="2">
        <v>75905</v>
      </c>
      <c r="N19" s="2">
        <v>40211</v>
      </c>
      <c r="O19" s="2">
        <v>94174</v>
      </c>
    </row>
    <row r="20" spans="1:15">
      <c r="A20" t="s">
        <v>19</v>
      </c>
      <c r="B20" s="1">
        <v>43380.766793981478</v>
      </c>
      <c r="C20" s="2">
        <v>15.5</v>
      </c>
      <c r="D20" s="2">
        <v>15.3</v>
      </c>
      <c r="E20" s="2">
        <v>15.3</v>
      </c>
      <c r="F20" s="3">
        <v>0.60499999999999998</v>
      </c>
      <c r="G20" s="3">
        <v>0.59299999999999997</v>
      </c>
      <c r="H20" s="3">
        <v>0.57899999999999996</v>
      </c>
      <c r="I20" s="2">
        <f t="shared" si="3"/>
        <v>0</v>
      </c>
      <c r="J20" s="4">
        <f t="shared" si="0"/>
        <v>0.01</v>
      </c>
      <c r="K20" s="4">
        <f t="shared" si="1"/>
        <v>0.01</v>
      </c>
      <c r="L20" s="4">
        <f t="shared" si="2"/>
        <v>0.01</v>
      </c>
      <c r="M20" s="2">
        <v>100000</v>
      </c>
      <c r="N20" s="2">
        <v>100000</v>
      </c>
      <c r="O20" s="2">
        <v>100000</v>
      </c>
    </row>
    <row r="21" spans="1:15">
      <c r="A21" t="s">
        <v>20</v>
      </c>
      <c r="B21" s="1">
        <v>43380.775648148148</v>
      </c>
      <c r="C21" s="2">
        <v>15.4</v>
      </c>
      <c r="D21" s="2">
        <v>15.2</v>
      </c>
      <c r="E21" s="2">
        <v>15.2</v>
      </c>
      <c r="F21" s="3">
        <v>0.61</v>
      </c>
      <c r="G21" s="3">
        <v>0.59499999999999997</v>
      </c>
      <c r="H21" s="3">
        <v>0.57999999999999996</v>
      </c>
      <c r="I21" s="2">
        <f t="shared" si="3"/>
        <v>0</v>
      </c>
      <c r="J21" s="4">
        <f t="shared" si="0"/>
        <v>0.01</v>
      </c>
      <c r="K21" s="4">
        <f t="shared" si="1"/>
        <v>0.01</v>
      </c>
      <c r="L21" s="4">
        <f t="shared" si="2"/>
        <v>0.01</v>
      </c>
      <c r="M21" s="2">
        <v>100000</v>
      </c>
      <c r="N21" s="2">
        <v>100000</v>
      </c>
      <c r="O21" s="2">
        <v>100000</v>
      </c>
    </row>
    <row r="22" spans="1:15">
      <c r="A22" t="s">
        <v>21</v>
      </c>
      <c r="B22" s="1">
        <v>43380.784479166665</v>
      </c>
      <c r="C22" s="2">
        <v>15.4</v>
      </c>
      <c r="D22" s="2">
        <v>15.3</v>
      </c>
      <c r="E22" s="2">
        <v>15.3</v>
      </c>
      <c r="F22" s="3">
        <v>0.61399999999999999</v>
      </c>
      <c r="G22" s="3">
        <v>0.59799999999999998</v>
      </c>
      <c r="H22" s="3">
        <v>0.58399999999999996</v>
      </c>
      <c r="I22" s="2">
        <f t="shared" si="3"/>
        <v>0</v>
      </c>
      <c r="J22" s="4">
        <f t="shared" si="0"/>
        <v>0.01</v>
      </c>
      <c r="K22" s="4">
        <f t="shared" si="1"/>
        <v>0.01</v>
      </c>
      <c r="L22" s="4">
        <f t="shared" si="2"/>
        <v>0.01</v>
      </c>
      <c r="M22" s="2">
        <v>100000</v>
      </c>
      <c r="N22" s="2">
        <v>100000</v>
      </c>
      <c r="O22" s="2">
        <v>100000</v>
      </c>
    </row>
    <row r="23" spans="1:15">
      <c r="A23" t="s">
        <v>22</v>
      </c>
      <c r="B23" s="1">
        <v>43380.793333333335</v>
      </c>
      <c r="C23" s="2">
        <v>15.5</v>
      </c>
      <c r="D23" s="2">
        <v>15.5</v>
      </c>
      <c r="E23" s="2">
        <v>15.4</v>
      </c>
      <c r="F23" s="3">
        <v>0.61399999999999999</v>
      </c>
      <c r="G23" s="3">
        <v>0.59399999999999997</v>
      </c>
      <c r="H23" s="3">
        <v>0.58299999999999996</v>
      </c>
      <c r="I23" s="2">
        <f t="shared" si="3"/>
        <v>0</v>
      </c>
      <c r="J23" s="4">
        <f t="shared" si="0"/>
        <v>0.01</v>
      </c>
      <c r="K23" s="4">
        <f t="shared" si="1"/>
        <v>0.01</v>
      </c>
      <c r="L23" s="4">
        <f t="shared" si="2"/>
        <v>0.01</v>
      </c>
      <c r="M23" s="2">
        <v>100000</v>
      </c>
      <c r="N23" s="2">
        <v>100000</v>
      </c>
      <c r="O23" s="2">
        <v>100000</v>
      </c>
    </row>
    <row r="24" spans="1:15">
      <c r="A24" t="s">
        <v>23</v>
      </c>
      <c r="B24" s="1">
        <v>43380.802164351851</v>
      </c>
      <c r="C24" s="2">
        <v>15.7</v>
      </c>
      <c r="D24" s="2">
        <v>15.8</v>
      </c>
      <c r="E24" s="2">
        <v>15.7</v>
      </c>
      <c r="F24" s="3">
        <v>0.61099999999999999</v>
      </c>
      <c r="G24" s="3">
        <v>0.59099999999999997</v>
      </c>
      <c r="H24" s="3">
        <v>0.57999999999999996</v>
      </c>
      <c r="I24" s="2">
        <f t="shared" si="3"/>
        <v>0</v>
      </c>
      <c r="J24" s="4">
        <f t="shared" si="0"/>
        <v>0.01</v>
      </c>
      <c r="K24" s="4">
        <f t="shared" si="1"/>
        <v>0.01</v>
      </c>
      <c r="L24" s="4">
        <f t="shared" si="2"/>
        <v>0.01</v>
      </c>
      <c r="M24" s="2">
        <v>100000</v>
      </c>
      <c r="N24" s="2">
        <v>100000</v>
      </c>
      <c r="O24" s="2">
        <v>100000</v>
      </c>
    </row>
    <row r="25" spans="1:15">
      <c r="A25" t="s">
        <v>24</v>
      </c>
      <c r="B25" s="1">
        <v>43380.810995370368</v>
      </c>
      <c r="C25" s="2">
        <v>15.7</v>
      </c>
      <c r="D25" s="2">
        <v>15.8</v>
      </c>
      <c r="E25" s="2">
        <v>15.6</v>
      </c>
      <c r="F25" s="3">
        <v>0.61699999999999999</v>
      </c>
      <c r="G25" s="3">
        <v>0.59599999999999997</v>
      </c>
      <c r="H25" s="3">
        <v>0.58299999999999996</v>
      </c>
      <c r="I25" s="2">
        <f t="shared" si="3"/>
        <v>0</v>
      </c>
      <c r="J25" s="4">
        <f t="shared" si="0"/>
        <v>0.01</v>
      </c>
      <c r="K25" s="4">
        <f t="shared" si="1"/>
        <v>0.01</v>
      </c>
      <c r="L25" s="4">
        <f t="shared" si="2"/>
        <v>0.01</v>
      </c>
      <c r="M25" s="2">
        <v>100000</v>
      </c>
      <c r="N25" s="2">
        <v>100000</v>
      </c>
      <c r="O25" s="2">
        <v>100000</v>
      </c>
    </row>
    <row r="26" spans="1:15">
      <c r="A26" t="s">
        <v>25</v>
      </c>
      <c r="B26" s="1">
        <v>43380.819791666669</v>
      </c>
      <c r="C26" s="2">
        <v>15.8</v>
      </c>
      <c r="D26" s="2">
        <v>15.8</v>
      </c>
      <c r="E26" s="2">
        <v>15.7</v>
      </c>
      <c r="F26" s="3">
        <v>0.63100000000000001</v>
      </c>
      <c r="G26" s="3">
        <v>0.60699999999999998</v>
      </c>
      <c r="H26" s="3">
        <v>0.59599999999999997</v>
      </c>
      <c r="I26" s="2">
        <f t="shared" si="3"/>
        <v>51.264381189547308</v>
      </c>
      <c r="J26" s="4">
        <f t="shared" si="0"/>
        <v>0.45167118337850043</v>
      </c>
      <c r="K26" s="4">
        <f t="shared" si="1"/>
        <v>0.62893081761006286</v>
      </c>
      <c r="L26" s="4">
        <f t="shared" si="2"/>
        <v>0.48732943469785572</v>
      </c>
      <c r="M26" s="2">
        <v>2214</v>
      </c>
      <c r="N26" s="2">
        <v>1590</v>
      </c>
      <c r="O26" s="2">
        <v>2052</v>
      </c>
    </row>
    <row r="27" spans="1:15">
      <c r="A27" t="s">
        <v>26</v>
      </c>
      <c r="B27" s="1">
        <v>43380.828587962962</v>
      </c>
      <c r="C27" s="2">
        <v>16.600000000000001</v>
      </c>
      <c r="D27" s="2">
        <v>16.7</v>
      </c>
      <c r="E27" s="2">
        <v>16.399999999999999</v>
      </c>
      <c r="F27" s="3">
        <v>0.623</v>
      </c>
      <c r="G27" s="3">
        <v>0.60399999999999998</v>
      </c>
      <c r="H27" s="3">
        <v>0.59299999999999997</v>
      </c>
      <c r="I27" s="2">
        <f t="shared" si="3"/>
        <v>49.255978465150655</v>
      </c>
      <c r="J27" s="4">
        <f t="shared" si="0"/>
        <v>0.43898156277436345</v>
      </c>
      <c r="K27" s="4">
        <f t="shared" si="1"/>
        <v>0.60422960725075525</v>
      </c>
      <c r="L27" s="4">
        <f t="shared" si="2"/>
        <v>0.46446818392940081</v>
      </c>
      <c r="M27" s="2">
        <v>2278</v>
      </c>
      <c r="N27" s="2">
        <v>1655</v>
      </c>
      <c r="O27" s="2">
        <v>2153</v>
      </c>
    </row>
    <row r="28" spans="1:15">
      <c r="A28" t="s">
        <v>27</v>
      </c>
      <c r="B28" s="1">
        <v>43380.837395833332</v>
      </c>
      <c r="C28" s="2">
        <v>17</v>
      </c>
      <c r="D28" s="2">
        <v>17.100000000000001</v>
      </c>
      <c r="E28" s="2">
        <v>16.899999999999999</v>
      </c>
      <c r="F28" s="3">
        <v>0.61899999999999999</v>
      </c>
      <c r="G28" s="3">
        <v>0.60499999999999998</v>
      </c>
      <c r="H28" s="3">
        <v>0.59199999999999997</v>
      </c>
      <c r="I28" s="2">
        <f t="shared" si="3"/>
        <v>55.73571610534718</v>
      </c>
      <c r="J28" s="4">
        <f t="shared" si="0"/>
        <v>0.49751243781094528</v>
      </c>
      <c r="K28" s="4">
        <f t="shared" si="1"/>
        <v>0.67796610169491522</v>
      </c>
      <c r="L28" s="4">
        <f t="shared" si="2"/>
        <v>0.526592943654555</v>
      </c>
      <c r="M28" s="2">
        <v>2010</v>
      </c>
      <c r="N28" s="2">
        <v>1475</v>
      </c>
      <c r="O28" s="2">
        <v>1899</v>
      </c>
    </row>
    <row r="29" spans="1:15">
      <c r="A29" t="s">
        <v>28</v>
      </c>
      <c r="B29" s="1">
        <v>43380.846215277779</v>
      </c>
      <c r="C29" s="2">
        <v>17.3</v>
      </c>
      <c r="D29" s="2">
        <v>17.3</v>
      </c>
      <c r="E29" s="2">
        <v>17.2</v>
      </c>
      <c r="F29" s="3">
        <v>0.621</v>
      </c>
      <c r="G29" s="3">
        <v>0.60799999999999998</v>
      </c>
      <c r="H29" s="3">
        <v>0.59399999999999997</v>
      </c>
      <c r="I29" s="2">
        <f t="shared" si="3"/>
        <v>54.92339784673063</v>
      </c>
      <c r="J29" s="4">
        <f t="shared" si="0"/>
        <v>0.48875855327468232</v>
      </c>
      <c r="K29" s="4">
        <f t="shared" si="1"/>
        <v>0.67294751009421261</v>
      </c>
      <c r="L29" s="4">
        <f t="shared" si="2"/>
        <v>0.51599587203302377</v>
      </c>
      <c r="M29" s="2">
        <v>2046</v>
      </c>
      <c r="N29" s="2">
        <v>1486</v>
      </c>
      <c r="O29" s="2">
        <v>1938</v>
      </c>
    </row>
    <row r="30" spans="1:15">
      <c r="A30" t="s">
        <v>29</v>
      </c>
      <c r="B30" s="1">
        <v>43380.855046296296</v>
      </c>
      <c r="C30" s="2">
        <v>17.5</v>
      </c>
      <c r="D30" s="2">
        <v>17.5</v>
      </c>
      <c r="E30" s="2">
        <v>17.399999999999999</v>
      </c>
      <c r="F30" s="3">
        <v>0.625</v>
      </c>
      <c r="G30" s="3">
        <v>0.61199999999999999</v>
      </c>
      <c r="H30" s="3">
        <v>0.59599999999999997</v>
      </c>
      <c r="I30" s="2">
        <f t="shared" si="3"/>
        <v>53.401565061088007</v>
      </c>
      <c r="J30" s="4">
        <f t="shared" si="0"/>
        <v>0.47824007651841222</v>
      </c>
      <c r="K30" s="4">
        <f t="shared" si="1"/>
        <v>0.65104166666666663</v>
      </c>
      <c r="L30" s="4">
        <f t="shared" si="2"/>
        <v>0.50276520864756158</v>
      </c>
      <c r="M30" s="2">
        <v>2091</v>
      </c>
      <c r="N30" s="2">
        <v>1536</v>
      </c>
      <c r="O30" s="2">
        <v>1989</v>
      </c>
    </row>
    <row r="31" spans="1:15">
      <c r="A31" t="s">
        <v>30</v>
      </c>
      <c r="B31" s="1">
        <v>43380.863854166666</v>
      </c>
      <c r="C31" s="2">
        <v>17.7</v>
      </c>
      <c r="D31" s="2">
        <v>17.7</v>
      </c>
      <c r="E31" s="2">
        <v>17.600000000000001</v>
      </c>
      <c r="F31" s="3">
        <v>0.628</v>
      </c>
      <c r="G31" s="3">
        <v>0.61499999999999999</v>
      </c>
      <c r="H31" s="3">
        <v>0.59799999999999998</v>
      </c>
      <c r="I31" s="2">
        <f t="shared" si="3"/>
        <v>53.890580005303526</v>
      </c>
      <c r="J31" s="4">
        <f t="shared" si="0"/>
        <v>0.48402710551790901</v>
      </c>
      <c r="K31" s="4">
        <f t="shared" si="1"/>
        <v>0.65789473684210531</v>
      </c>
      <c r="L31" s="4">
        <f t="shared" si="2"/>
        <v>0.50479555779909135</v>
      </c>
      <c r="M31" s="2">
        <v>2066</v>
      </c>
      <c r="N31" s="2">
        <v>1520</v>
      </c>
      <c r="O31" s="2">
        <v>1981</v>
      </c>
    </row>
    <row r="32" spans="1:15">
      <c r="A32" t="s">
        <v>31</v>
      </c>
      <c r="B32" s="1">
        <v>43380.872673611113</v>
      </c>
      <c r="C32" s="2">
        <v>17.8</v>
      </c>
      <c r="D32" s="2">
        <v>17.8</v>
      </c>
      <c r="E32" s="2">
        <v>17.7</v>
      </c>
      <c r="F32" s="3">
        <v>0.63</v>
      </c>
      <c r="G32" s="3">
        <v>0.61599999999999999</v>
      </c>
      <c r="H32" s="3">
        <v>0.59899999999999998</v>
      </c>
      <c r="I32" s="2">
        <f t="shared" si="3"/>
        <v>55.625858193367982</v>
      </c>
      <c r="J32" s="4">
        <f t="shared" si="0"/>
        <v>0.49875311720698257</v>
      </c>
      <c r="K32" s="4">
        <f t="shared" si="1"/>
        <v>0.68027210884353739</v>
      </c>
      <c r="L32" s="4">
        <f t="shared" si="2"/>
        <v>0.51975051975051978</v>
      </c>
      <c r="M32" s="2">
        <v>2005</v>
      </c>
      <c r="N32" s="2">
        <v>1470</v>
      </c>
      <c r="O32" s="2">
        <v>1924</v>
      </c>
    </row>
    <row r="33" spans="1:15">
      <c r="A33" t="s">
        <v>32</v>
      </c>
      <c r="B33" s="1">
        <v>43380.881481481483</v>
      </c>
      <c r="C33" s="2">
        <v>17.899999999999999</v>
      </c>
      <c r="D33" s="2">
        <v>17.899999999999999</v>
      </c>
      <c r="E33" s="2">
        <v>17.8</v>
      </c>
      <c r="F33" s="3">
        <v>0.63200000000000001</v>
      </c>
      <c r="G33" s="3">
        <v>0.61899999999999999</v>
      </c>
      <c r="H33" s="3">
        <v>0.6</v>
      </c>
      <c r="I33" s="2">
        <f t="shared" si="3"/>
        <v>56.709673492606385</v>
      </c>
      <c r="J33" s="4">
        <f t="shared" si="0"/>
        <v>0.50276520864756158</v>
      </c>
      <c r="K33" s="4">
        <f t="shared" si="1"/>
        <v>0.68681318681318682</v>
      </c>
      <c r="L33" s="4">
        <f t="shared" si="2"/>
        <v>0.54171180931744312</v>
      </c>
      <c r="M33" s="2">
        <v>1989</v>
      </c>
      <c r="N33" s="2">
        <v>1456</v>
      </c>
      <c r="O33" s="2">
        <v>1846</v>
      </c>
    </row>
    <row r="34" spans="1:15">
      <c r="A34" t="s">
        <v>33</v>
      </c>
      <c r="B34" s="1">
        <v>43380.890277777777</v>
      </c>
      <c r="C34" s="2">
        <v>17.899999999999999</v>
      </c>
      <c r="D34" s="2">
        <v>18</v>
      </c>
      <c r="E34" s="2">
        <v>17.899999999999999</v>
      </c>
      <c r="F34" s="3">
        <v>0.63400000000000001</v>
      </c>
      <c r="G34" s="3">
        <v>0.621</v>
      </c>
      <c r="H34" s="3">
        <v>0.60299999999999998</v>
      </c>
      <c r="I34" s="2">
        <f t="shared" si="3"/>
        <v>57.529127078071106</v>
      </c>
      <c r="J34" s="4">
        <f t="shared" si="0"/>
        <v>0.51894135962636223</v>
      </c>
      <c r="K34" s="4">
        <f t="shared" si="1"/>
        <v>0.69492703266157052</v>
      </c>
      <c r="L34" s="4">
        <f t="shared" si="2"/>
        <v>0.54200542005420049</v>
      </c>
      <c r="M34" s="2">
        <v>1927</v>
      </c>
      <c r="N34" s="2">
        <v>1439</v>
      </c>
      <c r="O34" s="2">
        <v>1845</v>
      </c>
    </row>
    <row r="35" spans="1:15">
      <c r="A35" t="s">
        <v>34</v>
      </c>
      <c r="B35" s="1">
        <v>43380.899074074077</v>
      </c>
      <c r="C35" s="2">
        <v>18</v>
      </c>
      <c r="D35" s="2">
        <v>18.100000000000001</v>
      </c>
      <c r="E35" s="2">
        <v>17.899999999999999</v>
      </c>
      <c r="F35" s="3">
        <v>0.63700000000000001</v>
      </c>
      <c r="G35" s="3">
        <v>0.623</v>
      </c>
      <c r="H35" s="3">
        <v>0.60499999999999998</v>
      </c>
      <c r="I35" s="2">
        <f t="shared" si="3"/>
        <v>58.022349438302548</v>
      </c>
      <c r="J35" s="4">
        <f t="shared" si="0"/>
        <v>0.52383446830801472</v>
      </c>
      <c r="K35" s="4">
        <f t="shared" si="1"/>
        <v>0.69979006298110569</v>
      </c>
      <c r="L35" s="4">
        <f t="shared" si="2"/>
        <v>0.54704595185995619</v>
      </c>
      <c r="M35" s="2">
        <v>1909</v>
      </c>
      <c r="N35" s="2">
        <v>1429</v>
      </c>
      <c r="O35" s="2">
        <v>1828</v>
      </c>
    </row>
    <row r="36" spans="1:15">
      <c r="A36" t="s">
        <v>35</v>
      </c>
      <c r="B36" s="1">
        <v>43380.908217592594</v>
      </c>
      <c r="C36" s="2">
        <v>18.100000000000001</v>
      </c>
      <c r="D36" s="2">
        <v>18.100000000000001</v>
      </c>
      <c r="E36" s="2">
        <v>18</v>
      </c>
      <c r="F36" s="3">
        <v>0.63800000000000001</v>
      </c>
      <c r="G36" s="3">
        <v>0.624</v>
      </c>
      <c r="H36" s="3">
        <v>0.60599999999999998</v>
      </c>
      <c r="I36" s="2">
        <f t="shared" si="3"/>
        <v>60.722231599172304</v>
      </c>
      <c r="J36" s="4">
        <f t="shared" si="0"/>
        <v>0.53908355795148244</v>
      </c>
      <c r="K36" s="4">
        <f t="shared" si="1"/>
        <v>0.73421439060205584</v>
      </c>
      <c r="L36" s="4">
        <f t="shared" si="2"/>
        <v>0.578368999421631</v>
      </c>
      <c r="M36" s="2">
        <v>1855</v>
      </c>
      <c r="N36" s="2">
        <v>1362</v>
      </c>
      <c r="O36" s="2">
        <v>1729</v>
      </c>
    </row>
    <row r="37" spans="1:15">
      <c r="A37" t="s">
        <v>36</v>
      </c>
      <c r="B37" s="1">
        <v>43380.917013888888</v>
      </c>
      <c r="C37" s="2">
        <v>18.100000000000001</v>
      </c>
      <c r="D37" s="2">
        <v>18.100000000000001</v>
      </c>
      <c r="E37" s="2">
        <v>18.100000000000001</v>
      </c>
      <c r="F37" s="3">
        <v>0.63900000000000001</v>
      </c>
      <c r="G37" s="3">
        <v>0.626</v>
      </c>
      <c r="H37" s="3">
        <v>0.60699999999999998</v>
      </c>
      <c r="I37" s="2">
        <f t="shared" si="3"/>
        <v>56.374424973293891</v>
      </c>
      <c r="J37" s="4">
        <f t="shared" si="0"/>
        <v>0.50251256281407031</v>
      </c>
      <c r="K37" s="4">
        <f t="shared" si="1"/>
        <v>0.68166325835037489</v>
      </c>
      <c r="L37" s="4">
        <f t="shared" si="2"/>
        <v>0.53705692803437166</v>
      </c>
      <c r="M37" s="2">
        <v>1990</v>
      </c>
      <c r="N37" s="2">
        <v>1467</v>
      </c>
      <c r="O37" s="2">
        <v>1862</v>
      </c>
    </row>
    <row r="38" spans="1:15">
      <c r="A38" t="s">
        <v>37</v>
      </c>
      <c r="B38" s="1">
        <v>43380.925821759258</v>
      </c>
      <c r="C38" s="2">
        <v>18.2</v>
      </c>
      <c r="D38" s="2">
        <v>18.399999999999999</v>
      </c>
      <c r="E38" s="2">
        <v>18.100000000000001</v>
      </c>
      <c r="F38" s="3">
        <v>0.64</v>
      </c>
      <c r="G38" s="3">
        <v>0.625</v>
      </c>
      <c r="H38" s="3">
        <v>0.61</v>
      </c>
      <c r="I38" s="2">
        <f t="shared" si="3"/>
        <v>57.610790173976213</v>
      </c>
      <c r="J38" s="4">
        <f t="shared" si="0"/>
        <v>0.50942435048395318</v>
      </c>
      <c r="K38" s="4">
        <f t="shared" si="1"/>
        <v>0.70571630204657732</v>
      </c>
      <c r="L38" s="4">
        <f t="shared" si="2"/>
        <v>0.54318305268875611</v>
      </c>
      <c r="M38" s="2">
        <v>1963</v>
      </c>
      <c r="N38" s="2">
        <v>1417</v>
      </c>
      <c r="O38" s="2">
        <v>1841</v>
      </c>
    </row>
    <row r="39" spans="1:15">
      <c r="A39" t="s">
        <v>38</v>
      </c>
      <c r="B39" s="1">
        <v>43380.934618055559</v>
      </c>
      <c r="C39" s="2">
        <v>18.3</v>
      </c>
      <c r="D39" s="2">
        <v>18.399999999999999</v>
      </c>
      <c r="E39" s="2">
        <v>18.2</v>
      </c>
      <c r="F39" s="3">
        <v>0.64200000000000002</v>
      </c>
      <c r="G39" s="3">
        <v>0.627</v>
      </c>
      <c r="H39" s="3">
        <v>0.61099999999999999</v>
      </c>
      <c r="I39" s="2">
        <f t="shared" si="3"/>
        <v>61.976212307236992</v>
      </c>
      <c r="J39" s="4">
        <f t="shared" si="0"/>
        <v>0.54794520547945202</v>
      </c>
      <c r="K39" s="4">
        <f t="shared" si="1"/>
        <v>0.7496251874062968</v>
      </c>
      <c r="L39" s="4">
        <f t="shared" si="2"/>
        <v>0.59171597633136097</v>
      </c>
      <c r="M39" s="2">
        <v>1825</v>
      </c>
      <c r="N39" s="2">
        <v>1334</v>
      </c>
      <c r="O39" s="2">
        <v>1690</v>
      </c>
    </row>
    <row r="40" spans="1:15">
      <c r="A40" t="s">
        <v>39</v>
      </c>
      <c r="B40" s="1">
        <v>43380.943449074075</v>
      </c>
      <c r="C40" s="2">
        <v>18.3</v>
      </c>
      <c r="D40" s="2">
        <v>18.3</v>
      </c>
      <c r="E40" s="2">
        <v>18.2</v>
      </c>
      <c r="F40" s="3">
        <v>0.64400000000000002</v>
      </c>
      <c r="G40" s="3">
        <v>0.63</v>
      </c>
      <c r="H40" s="3">
        <v>0.61199999999999999</v>
      </c>
      <c r="I40" s="2">
        <f t="shared" si="3"/>
        <v>60.085951506094084</v>
      </c>
      <c r="J40" s="4">
        <f t="shared" si="0"/>
        <v>0.53850296176628976</v>
      </c>
      <c r="K40" s="4">
        <f t="shared" si="1"/>
        <v>0.72621641249092228</v>
      </c>
      <c r="L40" s="4">
        <f t="shared" si="2"/>
        <v>0.56785917092561045</v>
      </c>
      <c r="M40" s="2">
        <v>1857</v>
      </c>
      <c r="N40" s="2">
        <v>1377</v>
      </c>
      <c r="O40" s="2">
        <v>1761</v>
      </c>
    </row>
    <row r="41" spans="1:15">
      <c r="A41" t="s">
        <v>40</v>
      </c>
      <c r="B41" s="1">
        <v>43380.952268518522</v>
      </c>
      <c r="C41" s="2">
        <v>18.2</v>
      </c>
      <c r="D41" s="2">
        <v>18.3</v>
      </c>
      <c r="E41" s="2">
        <v>18.2</v>
      </c>
      <c r="F41" s="3">
        <v>0.64600000000000002</v>
      </c>
      <c r="G41" s="3">
        <v>0.63300000000000001</v>
      </c>
      <c r="H41" s="3">
        <v>0.61499999999999999</v>
      </c>
      <c r="I41" s="2">
        <f t="shared" si="3"/>
        <v>0</v>
      </c>
      <c r="J41" s="4">
        <f t="shared" si="0"/>
        <v>0.01</v>
      </c>
      <c r="K41" s="4">
        <f t="shared" si="1"/>
        <v>0.01</v>
      </c>
      <c r="L41" s="4">
        <f t="shared" si="2"/>
        <v>0.01</v>
      </c>
      <c r="M41" s="2">
        <v>100000</v>
      </c>
      <c r="N41" s="2">
        <v>100000</v>
      </c>
      <c r="O41" s="2">
        <v>100000</v>
      </c>
    </row>
    <row r="42" spans="1:15">
      <c r="A42" t="s">
        <v>41</v>
      </c>
      <c r="B42" s="1">
        <v>43380.961099537039</v>
      </c>
      <c r="C42" s="2">
        <v>18.2</v>
      </c>
      <c r="D42" s="2">
        <v>18.2</v>
      </c>
      <c r="E42" s="2">
        <v>18.100000000000001</v>
      </c>
      <c r="F42" s="3">
        <v>0.65100000000000002</v>
      </c>
      <c r="G42" s="3">
        <v>0.63700000000000001</v>
      </c>
      <c r="H42" s="3">
        <v>0.61799999999999999</v>
      </c>
      <c r="I42" s="2">
        <f t="shared" si="3"/>
        <v>0</v>
      </c>
      <c r="J42" s="4">
        <f t="shared" si="0"/>
        <v>0.01</v>
      </c>
      <c r="K42" s="4">
        <f t="shared" si="1"/>
        <v>0.01</v>
      </c>
      <c r="L42" s="4">
        <f t="shared" si="2"/>
        <v>0.01</v>
      </c>
      <c r="M42" s="2">
        <v>100000</v>
      </c>
      <c r="N42" s="2">
        <v>100000</v>
      </c>
      <c r="O42" s="2">
        <v>100000</v>
      </c>
    </row>
    <row r="43" spans="1:15">
      <c r="A43" t="s">
        <v>42</v>
      </c>
      <c r="B43" s="1">
        <v>43380.969930555555</v>
      </c>
      <c r="C43" s="2">
        <v>18.100000000000001</v>
      </c>
      <c r="D43" s="2">
        <v>18.2</v>
      </c>
      <c r="E43" s="2">
        <v>18.100000000000001</v>
      </c>
      <c r="F43" s="3">
        <v>0.65500000000000003</v>
      </c>
      <c r="G43" s="3">
        <v>0.64100000000000001</v>
      </c>
      <c r="H43" s="3">
        <v>0.623</v>
      </c>
      <c r="I43" s="2">
        <f t="shared" si="3"/>
        <v>0</v>
      </c>
      <c r="J43" s="4">
        <f t="shared" si="0"/>
        <v>0.01</v>
      </c>
      <c r="K43" s="4">
        <f t="shared" si="1"/>
        <v>0.01</v>
      </c>
      <c r="L43" s="4">
        <f t="shared" si="2"/>
        <v>0.01</v>
      </c>
      <c r="M43" s="2">
        <v>100000</v>
      </c>
      <c r="N43" s="2">
        <v>100000</v>
      </c>
      <c r="O43" s="2">
        <v>100000</v>
      </c>
    </row>
    <row r="44" spans="1:15">
      <c r="A44" t="s">
        <v>43</v>
      </c>
      <c r="B44" s="1">
        <v>43380.978761574072</v>
      </c>
      <c r="C44" s="2">
        <v>18.100000000000001</v>
      </c>
      <c r="D44" s="2">
        <v>18.100000000000001</v>
      </c>
      <c r="E44" s="2">
        <v>18.100000000000001</v>
      </c>
      <c r="F44" s="3">
        <v>0.65700000000000003</v>
      </c>
      <c r="G44" s="3">
        <v>0.64300000000000002</v>
      </c>
      <c r="H44" s="3">
        <v>0.625</v>
      </c>
      <c r="I44" s="2">
        <f t="shared" si="3"/>
        <v>0</v>
      </c>
      <c r="J44" s="4">
        <f t="shared" si="0"/>
        <v>0.01</v>
      </c>
      <c r="K44" s="4">
        <f t="shared" si="1"/>
        <v>0.01</v>
      </c>
      <c r="L44" s="4">
        <f t="shared" si="2"/>
        <v>0.01</v>
      </c>
      <c r="M44" s="2">
        <v>100000</v>
      </c>
      <c r="N44" s="2">
        <v>100000</v>
      </c>
      <c r="O44" s="2">
        <v>100000</v>
      </c>
    </row>
    <row r="45" spans="1:15">
      <c r="A45" t="s">
        <v>44</v>
      </c>
      <c r="B45" s="1">
        <v>43380.987592592595</v>
      </c>
      <c r="C45" s="2">
        <v>18.100000000000001</v>
      </c>
      <c r="D45" s="2">
        <v>18.100000000000001</v>
      </c>
      <c r="E45" s="2">
        <v>18</v>
      </c>
      <c r="F45" s="3">
        <v>0.65800000000000003</v>
      </c>
      <c r="G45" s="3">
        <v>0.64500000000000002</v>
      </c>
      <c r="H45" s="3">
        <v>0.626</v>
      </c>
      <c r="I45" s="2">
        <f t="shared" si="3"/>
        <v>0</v>
      </c>
      <c r="J45" s="4">
        <f t="shared" si="0"/>
        <v>0.01</v>
      </c>
      <c r="K45" s="4">
        <f t="shared" si="1"/>
        <v>0.01</v>
      </c>
      <c r="L45" s="4">
        <f t="shared" si="2"/>
        <v>0.01</v>
      </c>
      <c r="M45" s="2">
        <v>100000</v>
      </c>
      <c r="N45" s="2">
        <v>100000</v>
      </c>
      <c r="O45" s="2">
        <v>100000</v>
      </c>
    </row>
    <row r="46" spans="1:15">
      <c r="A46" t="s">
        <v>45</v>
      </c>
      <c r="B46" s="1">
        <v>43380.996412037035</v>
      </c>
      <c r="C46" s="2">
        <v>18</v>
      </c>
      <c r="D46" s="2">
        <v>18.100000000000001</v>
      </c>
      <c r="E46" s="2">
        <v>18</v>
      </c>
      <c r="F46" s="3">
        <v>0.66</v>
      </c>
      <c r="G46" s="3">
        <v>0.64500000000000002</v>
      </c>
      <c r="H46" s="3">
        <v>0.627</v>
      </c>
      <c r="I46" s="2">
        <f t="shared" si="3"/>
        <v>0</v>
      </c>
      <c r="J46" s="4">
        <f t="shared" si="0"/>
        <v>0.01</v>
      </c>
      <c r="K46" s="4">
        <f t="shared" si="1"/>
        <v>0.01</v>
      </c>
      <c r="L46" s="4">
        <f t="shared" si="2"/>
        <v>0.01</v>
      </c>
      <c r="M46" s="2">
        <v>100000</v>
      </c>
      <c r="N46" s="2">
        <v>100000</v>
      </c>
      <c r="O46" s="2">
        <v>100000</v>
      </c>
    </row>
    <row r="47" spans="1:15">
      <c r="A47" t="s">
        <v>46</v>
      </c>
      <c r="B47" s="1">
        <v>43381.005243055559</v>
      </c>
      <c r="C47" s="2">
        <v>18</v>
      </c>
      <c r="D47" s="2">
        <v>18.100000000000001</v>
      </c>
      <c r="E47" s="2">
        <v>18</v>
      </c>
      <c r="F47" s="3">
        <v>0.65900000000000003</v>
      </c>
      <c r="G47" s="3">
        <v>0.64600000000000002</v>
      </c>
      <c r="H47" s="3">
        <v>0.628</v>
      </c>
      <c r="I47" s="2">
        <f t="shared" si="3"/>
        <v>0</v>
      </c>
      <c r="J47" s="4">
        <f t="shared" si="0"/>
        <v>0.01</v>
      </c>
      <c r="K47" s="4">
        <f t="shared" si="1"/>
        <v>0.01</v>
      </c>
      <c r="L47" s="4">
        <f t="shared" si="2"/>
        <v>0.01</v>
      </c>
      <c r="M47" s="2">
        <v>100000</v>
      </c>
      <c r="N47" s="2">
        <v>100000</v>
      </c>
      <c r="O47" s="2">
        <v>100000</v>
      </c>
    </row>
    <row r="48" spans="1:15">
      <c r="A48" t="s">
        <v>47</v>
      </c>
      <c r="B48" s="1">
        <v>43381.014074074075</v>
      </c>
      <c r="C48" s="2">
        <v>18</v>
      </c>
      <c r="D48" s="2">
        <v>18.100000000000001</v>
      </c>
      <c r="E48" s="2">
        <v>17.899999999999999</v>
      </c>
      <c r="F48" s="3">
        <v>0.66100000000000003</v>
      </c>
      <c r="G48" s="3">
        <v>0.64700000000000002</v>
      </c>
      <c r="H48" s="3">
        <v>0.628</v>
      </c>
      <c r="I48" s="2">
        <f t="shared" si="3"/>
        <v>0</v>
      </c>
      <c r="J48" s="4">
        <f t="shared" si="0"/>
        <v>0.01</v>
      </c>
      <c r="K48" s="4">
        <f t="shared" si="1"/>
        <v>0.01</v>
      </c>
      <c r="L48" s="4">
        <f t="shared" si="2"/>
        <v>0.01</v>
      </c>
      <c r="M48" s="2">
        <v>100000</v>
      </c>
      <c r="N48" s="2">
        <v>100000</v>
      </c>
      <c r="O48" s="2">
        <v>100000</v>
      </c>
    </row>
    <row r="49" spans="1:15">
      <c r="A49" t="s">
        <v>48</v>
      </c>
      <c r="B49" s="1">
        <v>43381.022905092592</v>
      </c>
      <c r="C49" s="2">
        <v>18</v>
      </c>
      <c r="D49" s="2">
        <v>18</v>
      </c>
      <c r="E49" s="2">
        <v>18</v>
      </c>
      <c r="F49" s="3">
        <v>0.66100000000000003</v>
      </c>
      <c r="G49" s="3">
        <v>0.64800000000000002</v>
      </c>
      <c r="H49" s="3">
        <v>0.63</v>
      </c>
      <c r="I49" s="2">
        <f t="shared" si="3"/>
        <v>0</v>
      </c>
      <c r="J49" s="4">
        <f t="shared" si="0"/>
        <v>0.01</v>
      </c>
      <c r="K49" s="4">
        <f t="shared" si="1"/>
        <v>0.01</v>
      </c>
      <c r="L49" s="4">
        <f t="shared" si="2"/>
        <v>0.01</v>
      </c>
      <c r="M49" s="2">
        <v>100000</v>
      </c>
      <c r="N49" s="2">
        <v>100000</v>
      </c>
      <c r="O49" s="2">
        <v>100000</v>
      </c>
    </row>
    <row r="50" spans="1:15">
      <c r="A50" t="s">
        <v>49</v>
      </c>
      <c r="B50" s="1">
        <v>43381.031759259262</v>
      </c>
      <c r="C50" s="2">
        <v>18</v>
      </c>
      <c r="D50" s="2">
        <v>18</v>
      </c>
      <c r="E50" s="2">
        <v>18</v>
      </c>
      <c r="F50" s="3">
        <v>0.66200000000000003</v>
      </c>
      <c r="G50" s="3">
        <v>0.64800000000000002</v>
      </c>
      <c r="H50" s="3">
        <v>0.63100000000000001</v>
      </c>
      <c r="I50" s="2">
        <f t="shared" si="3"/>
        <v>0</v>
      </c>
      <c r="J50" s="4">
        <f t="shared" si="0"/>
        <v>0.01</v>
      </c>
      <c r="K50" s="4">
        <f t="shared" si="1"/>
        <v>0.01</v>
      </c>
      <c r="L50" s="4">
        <f t="shared" si="2"/>
        <v>0.01</v>
      </c>
      <c r="M50" s="2">
        <v>100000</v>
      </c>
      <c r="N50" s="2">
        <v>100000</v>
      </c>
      <c r="O50" s="2">
        <v>100000</v>
      </c>
    </row>
    <row r="51" spans="1:15">
      <c r="A51" t="s">
        <v>50</v>
      </c>
      <c r="B51" s="1">
        <v>43381.040590277778</v>
      </c>
      <c r="C51" s="2">
        <v>18</v>
      </c>
      <c r="D51" s="2">
        <v>18</v>
      </c>
      <c r="E51" s="2">
        <v>17.899999999999999</v>
      </c>
      <c r="F51" s="3">
        <v>0.66300000000000003</v>
      </c>
      <c r="G51" s="3">
        <v>0.64900000000000002</v>
      </c>
      <c r="H51" s="3">
        <v>0.63200000000000001</v>
      </c>
      <c r="I51" s="2">
        <f t="shared" si="3"/>
        <v>0</v>
      </c>
      <c r="J51" s="4">
        <f t="shared" si="0"/>
        <v>0.01</v>
      </c>
      <c r="K51" s="4">
        <f t="shared" si="1"/>
        <v>0.01</v>
      </c>
      <c r="L51" s="4">
        <f t="shared" si="2"/>
        <v>0.01</v>
      </c>
      <c r="M51" s="2">
        <v>100000</v>
      </c>
      <c r="N51" s="2">
        <v>100000</v>
      </c>
      <c r="O51" s="2">
        <v>100000</v>
      </c>
    </row>
    <row r="52" spans="1:15">
      <c r="A52" t="s">
        <v>51</v>
      </c>
      <c r="B52" s="1">
        <v>43381.049421296295</v>
      </c>
      <c r="C52" s="2">
        <v>18</v>
      </c>
      <c r="D52" s="2">
        <v>18</v>
      </c>
      <c r="E52" s="2">
        <v>17.899999999999999</v>
      </c>
      <c r="F52" s="3">
        <v>0.66500000000000004</v>
      </c>
      <c r="G52" s="3">
        <v>0.65</v>
      </c>
      <c r="H52" s="3">
        <v>0.63400000000000001</v>
      </c>
      <c r="I52" s="2">
        <f t="shared" si="3"/>
        <v>0</v>
      </c>
      <c r="J52" s="4">
        <f t="shared" si="0"/>
        <v>0.01</v>
      </c>
      <c r="K52" s="4">
        <f t="shared" si="1"/>
        <v>0.01</v>
      </c>
      <c r="L52" s="4">
        <f t="shared" si="2"/>
        <v>0.01</v>
      </c>
      <c r="M52" s="2">
        <v>100000</v>
      </c>
      <c r="N52" s="2">
        <v>100000</v>
      </c>
      <c r="O52" s="2">
        <v>100000</v>
      </c>
    </row>
    <row r="53" spans="1:15">
      <c r="A53" t="s">
        <v>52</v>
      </c>
      <c r="B53" s="1">
        <v>43381.058252314811</v>
      </c>
      <c r="C53" s="2">
        <v>17.899999999999999</v>
      </c>
      <c r="D53" s="2">
        <v>18</v>
      </c>
      <c r="E53" s="2">
        <v>17.899999999999999</v>
      </c>
      <c r="F53" s="3">
        <v>0.66500000000000004</v>
      </c>
      <c r="G53" s="3">
        <v>0.65100000000000002</v>
      </c>
      <c r="H53" s="3">
        <v>0.63400000000000001</v>
      </c>
      <c r="I53" s="2">
        <f t="shared" si="3"/>
        <v>0</v>
      </c>
      <c r="J53" s="4">
        <f t="shared" si="0"/>
        <v>0.01</v>
      </c>
      <c r="K53" s="4">
        <f t="shared" si="1"/>
        <v>0.01</v>
      </c>
      <c r="L53" s="4">
        <f t="shared" si="2"/>
        <v>0.01</v>
      </c>
      <c r="M53" s="2">
        <v>100000</v>
      </c>
      <c r="N53" s="2">
        <v>100000</v>
      </c>
      <c r="O53" s="2">
        <v>100000</v>
      </c>
    </row>
    <row r="54" spans="1:15">
      <c r="A54" t="s">
        <v>53</v>
      </c>
      <c r="B54" s="1">
        <v>43381.067453703705</v>
      </c>
      <c r="C54" s="2">
        <v>17.899999999999999</v>
      </c>
      <c r="D54" s="2">
        <v>18</v>
      </c>
      <c r="E54" s="2">
        <v>17.899999999999999</v>
      </c>
      <c r="F54" s="3">
        <v>0.66700000000000004</v>
      </c>
      <c r="G54" s="3">
        <v>0.65300000000000002</v>
      </c>
      <c r="H54" s="3">
        <v>0.63500000000000001</v>
      </c>
      <c r="I54" s="2">
        <f t="shared" si="3"/>
        <v>0</v>
      </c>
      <c r="J54" s="4">
        <f t="shared" si="0"/>
        <v>0.01</v>
      </c>
      <c r="K54" s="4">
        <f t="shared" si="1"/>
        <v>0.01</v>
      </c>
      <c r="L54" s="4">
        <f t="shared" si="2"/>
        <v>0.01</v>
      </c>
      <c r="M54" s="2">
        <v>100000</v>
      </c>
      <c r="N54" s="2">
        <v>100000</v>
      </c>
      <c r="O54" s="2">
        <v>100000</v>
      </c>
    </row>
    <row r="55" spans="1:15">
      <c r="A55" t="s">
        <v>54</v>
      </c>
      <c r="B55" s="1">
        <v>43381.076284722221</v>
      </c>
      <c r="C55" s="2">
        <v>17.899999999999999</v>
      </c>
      <c r="D55" s="2">
        <v>18</v>
      </c>
      <c r="E55" s="2">
        <v>17.899999999999999</v>
      </c>
      <c r="F55" s="3">
        <v>0.66600000000000004</v>
      </c>
      <c r="G55" s="3">
        <v>0.65300000000000002</v>
      </c>
      <c r="H55" s="3">
        <v>0.63600000000000001</v>
      </c>
      <c r="I55" s="2">
        <f t="shared" si="3"/>
        <v>0</v>
      </c>
      <c r="J55" s="4">
        <f t="shared" si="0"/>
        <v>0.01</v>
      </c>
      <c r="K55" s="4">
        <f t="shared" si="1"/>
        <v>0.01</v>
      </c>
      <c r="L55" s="4">
        <f t="shared" si="2"/>
        <v>0.01</v>
      </c>
      <c r="M55" s="2">
        <v>100000</v>
      </c>
      <c r="N55" s="2">
        <v>100000</v>
      </c>
      <c r="O55" s="2">
        <v>100000</v>
      </c>
    </row>
    <row r="56" spans="1:15">
      <c r="A56" t="s">
        <v>55</v>
      </c>
      <c r="B56" s="1">
        <v>43381.085173611114</v>
      </c>
      <c r="C56" s="2">
        <v>17.899999999999999</v>
      </c>
      <c r="D56" s="2">
        <v>18</v>
      </c>
      <c r="E56" s="2">
        <v>17.899999999999999</v>
      </c>
      <c r="F56" s="3">
        <v>0.66700000000000004</v>
      </c>
      <c r="G56" s="3">
        <v>0.65400000000000003</v>
      </c>
      <c r="H56" s="3">
        <v>0.63700000000000001</v>
      </c>
      <c r="I56" s="2">
        <f t="shared" si="3"/>
        <v>0</v>
      </c>
      <c r="J56" s="4">
        <f t="shared" si="0"/>
        <v>0.01</v>
      </c>
      <c r="K56" s="4">
        <f t="shared" si="1"/>
        <v>0.01</v>
      </c>
      <c r="L56" s="4">
        <f t="shared" si="2"/>
        <v>0.01</v>
      </c>
      <c r="M56" s="2">
        <v>100000</v>
      </c>
      <c r="N56" s="2">
        <v>100000</v>
      </c>
      <c r="O56" s="2">
        <v>100000</v>
      </c>
    </row>
    <row r="57" spans="1:15">
      <c r="A57" t="s">
        <v>56</v>
      </c>
      <c r="B57" s="1">
        <v>43381.093993055554</v>
      </c>
      <c r="C57" s="2">
        <v>17.899999999999999</v>
      </c>
      <c r="D57" s="2">
        <v>18</v>
      </c>
      <c r="E57" s="2">
        <v>17.899999999999999</v>
      </c>
      <c r="F57" s="3">
        <v>0.66900000000000004</v>
      </c>
      <c r="G57" s="3">
        <v>0.65400000000000003</v>
      </c>
      <c r="H57" s="3">
        <v>0.63700000000000001</v>
      </c>
      <c r="I57" s="2">
        <f t="shared" si="3"/>
        <v>0</v>
      </c>
      <c r="J57" s="4">
        <f t="shared" si="0"/>
        <v>0.01</v>
      </c>
      <c r="K57" s="4">
        <f t="shared" si="1"/>
        <v>0.01</v>
      </c>
      <c r="L57" s="4">
        <f t="shared" si="2"/>
        <v>0.01</v>
      </c>
      <c r="M57" s="2">
        <v>100000</v>
      </c>
      <c r="N57" s="2">
        <v>100000</v>
      </c>
      <c r="O57" s="2">
        <v>100000</v>
      </c>
    </row>
    <row r="58" spans="1:15">
      <c r="A58" t="s">
        <v>57</v>
      </c>
      <c r="B58" s="1">
        <v>43381.102824074071</v>
      </c>
      <c r="C58" s="2">
        <v>17.899999999999999</v>
      </c>
      <c r="D58" s="2">
        <v>17.899999999999999</v>
      </c>
      <c r="E58" s="2">
        <v>17.899999999999999</v>
      </c>
      <c r="F58" s="3">
        <v>0.67</v>
      </c>
      <c r="G58" s="3">
        <v>0.65600000000000003</v>
      </c>
      <c r="H58" s="3">
        <v>0.63900000000000001</v>
      </c>
      <c r="I58" s="2">
        <f t="shared" si="3"/>
        <v>0</v>
      </c>
      <c r="J58" s="4">
        <f t="shared" si="0"/>
        <v>0.01</v>
      </c>
      <c r="K58" s="4">
        <f t="shared" si="1"/>
        <v>0.01</v>
      </c>
      <c r="L58" s="4">
        <f t="shared" si="2"/>
        <v>0.01</v>
      </c>
      <c r="M58" s="2">
        <v>100000</v>
      </c>
      <c r="N58" s="2">
        <v>100000</v>
      </c>
      <c r="O58" s="2">
        <v>100000</v>
      </c>
    </row>
    <row r="59" spans="1:15">
      <c r="A59" t="s">
        <v>58</v>
      </c>
      <c r="B59" s="1">
        <v>43381.111655092594</v>
      </c>
      <c r="C59" s="2">
        <v>17.899999999999999</v>
      </c>
      <c r="D59" s="2">
        <v>17.899999999999999</v>
      </c>
      <c r="E59" s="2">
        <v>17.8</v>
      </c>
      <c r="F59" s="3">
        <v>0.67100000000000004</v>
      </c>
      <c r="G59" s="3">
        <v>0.65600000000000003</v>
      </c>
      <c r="H59" s="3">
        <v>0.63900000000000001</v>
      </c>
      <c r="I59" s="2">
        <f t="shared" si="3"/>
        <v>0</v>
      </c>
      <c r="J59" s="4">
        <f t="shared" si="0"/>
        <v>0.01</v>
      </c>
      <c r="K59" s="4">
        <f t="shared" si="1"/>
        <v>0.01</v>
      </c>
      <c r="L59" s="4">
        <f t="shared" si="2"/>
        <v>0.01</v>
      </c>
      <c r="M59" s="2">
        <v>100000</v>
      </c>
      <c r="N59" s="2">
        <v>100000</v>
      </c>
      <c r="O59" s="2">
        <v>100000</v>
      </c>
    </row>
    <row r="60" spans="1:15">
      <c r="A60" t="s">
        <v>59</v>
      </c>
      <c r="B60" s="1">
        <v>43381.120520833334</v>
      </c>
      <c r="C60" s="2">
        <v>17.899999999999999</v>
      </c>
      <c r="D60" s="2">
        <v>17.899999999999999</v>
      </c>
      <c r="E60" s="2">
        <v>17.8</v>
      </c>
      <c r="F60" s="3">
        <v>0.67200000000000004</v>
      </c>
      <c r="G60" s="3">
        <v>0.65700000000000003</v>
      </c>
      <c r="H60" s="3">
        <v>0.64</v>
      </c>
      <c r="I60" s="2">
        <f t="shared" si="3"/>
        <v>0</v>
      </c>
      <c r="J60" s="4">
        <f t="shared" si="0"/>
        <v>0.01</v>
      </c>
      <c r="K60" s="4">
        <f t="shared" si="1"/>
        <v>0.01</v>
      </c>
      <c r="L60" s="4">
        <f t="shared" si="2"/>
        <v>0.01</v>
      </c>
      <c r="M60" s="2">
        <v>100000</v>
      </c>
      <c r="N60" s="2">
        <v>100000</v>
      </c>
      <c r="O60" s="2">
        <v>100000</v>
      </c>
    </row>
    <row r="61" spans="1:15">
      <c r="A61" t="s">
        <v>60</v>
      </c>
      <c r="B61" s="1">
        <v>43381.129351851851</v>
      </c>
      <c r="C61" s="2">
        <v>17.899999999999999</v>
      </c>
      <c r="D61" s="2">
        <v>17.899999999999999</v>
      </c>
      <c r="E61" s="2">
        <v>17.8</v>
      </c>
      <c r="F61" s="3">
        <v>0.67300000000000004</v>
      </c>
      <c r="G61" s="3">
        <v>0.65800000000000003</v>
      </c>
      <c r="H61" s="3">
        <v>0.64</v>
      </c>
      <c r="I61" s="2">
        <f t="shared" si="3"/>
        <v>0</v>
      </c>
      <c r="J61" s="4">
        <f t="shared" si="0"/>
        <v>0.01</v>
      </c>
      <c r="K61" s="4">
        <f t="shared" si="1"/>
        <v>0.01</v>
      </c>
      <c r="L61" s="4">
        <f t="shared" si="2"/>
        <v>0.01</v>
      </c>
      <c r="M61" s="2">
        <v>100000</v>
      </c>
      <c r="N61" s="2">
        <v>100000</v>
      </c>
      <c r="O61" s="2">
        <v>100000</v>
      </c>
    </row>
    <row r="62" spans="1:15">
      <c r="A62" t="s">
        <v>61</v>
      </c>
      <c r="B62" s="1">
        <v>43381.147002314814</v>
      </c>
      <c r="C62" s="2">
        <v>17.899999999999999</v>
      </c>
      <c r="D62" s="2">
        <v>17.899999999999999</v>
      </c>
      <c r="E62" s="2">
        <v>17.8</v>
      </c>
      <c r="F62" s="3">
        <v>0.67400000000000004</v>
      </c>
      <c r="G62" s="3">
        <v>0.65900000000000003</v>
      </c>
      <c r="H62" s="3">
        <v>0.64200000000000002</v>
      </c>
      <c r="I62" s="2">
        <f t="shared" si="3"/>
        <v>0</v>
      </c>
      <c r="J62" s="4">
        <f t="shared" si="0"/>
        <v>0.01</v>
      </c>
      <c r="K62" s="4">
        <f t="shared" si="1"/>
        <v>0.01</v>
      </c>
      <c r="L62" s="4">
        <f t="shared" si="2"/>
        <v>0.01</v>
      </c>
      <c r="M62" s="2">
        <v>100000</v>
      </c>
      <c r="N62" s="2">
        <v>100000</v>
      </c>
      <c r="O62" s="2">
        <v>100000</v>
      </c>
    </row>
    <row r="63" spans="1:15">
      <c r="A63" t="s">
        <v>62</v>
      </c>
      <c r="B63" s="1">
        <v>43381.155833333331</v>
      </c>
      <c r="C63" s="2">
        <v>17.899999999999999</v>
      </c>
      <c r="D63" s="2">
        <v>17.899999999999999</v>
      </c>
      <c r="E63" s="2">
        <v>17.8</v>
      </c>
      <c r="F63" s="3">
        <v>0.67500000000000004</v>
      </c>
      <c r="G63" s="3">
        <v>0.66</v>
      </c>
      <c r="H63" s="3">
        <v>0.64300000000000002</v>
      </c>
      <c r="I63" s="2">
        <f t="shared" si="3"/>
        <v>0</v>
      </c>
      <c r="J63" s="4">
        <f t="shared" si="0"/>
        <v>0.01</v>
      </c>
      <c r="K63" s="4">
        <f t="shared" si="1"/>
        <v>0.01</v>
      </c>
      <c r="L63" s="4">
        <f t="shared" si="2"/>
        <v>0.01</v>
      </c>
      <c r="M63" s="2">
        <v>100000</v>
      </c>
      <c r="N63" s="2">
        <v>100000</v>
      </c>
      <c r="O63" s="2">
        <v>100000</v>
      </c>
    </row>
    <row r="64" spans="1:15">
      <c r="A64" t="s">
        <v>63</v>
      </c>
      <c r="B64" s="1">
        <v>43381.164664351854</v>
      </c>
      <c r="C64" s="2">
        <v>17.899999999999999</v>
      </c>
      <c r="D64" s="2">
        <v>17.899999999999999</v>
      </c>
      <c r="E64" s="2">
        <v>17.8</v>
      </c>
      <c r="F64" s="3">
        <v>0.67600000000000005</v>
      </c>
      <c r="G64" s="3">
        <v>0.66200000000000003</v>
      </c>
      <c r="H64" s="3">
        <v>0.64400000000000002</v>
      </c>
      <c r="I64" s="2">
        <f t="shared" si="3"/>
        <v>0</v>
      </c>
      <c r="J64" s="4">
        <f t="shared" ref="J64:J123" si="4">1000/M64</f>
        <v>0.01</v>
      </c>
      <c r="K64" s="4">
        <f t="shared" ref="K64:K123" si="5">1000/N64</f>
        <v>0.01</v>
      </c>
      <c r="L64" s="4">
        <f t="shared" ref="L64:L123" si="6">1000/O64</f>
        <v>0.01</v>
      </c>
      <c r="M64" s="2">
        <v>100000</v>
      </c>
      <c r="N64" s="2">
        <v>100000</v>
      </c>
      <c r="O64" s="2">
        <v>100000</v>
      </c>
    </row>
    <row r="65" spans="1:15">
      <c r="A65" t="s">
        <v>64</v>
      </c>
      <c r="B65" s="1">
        <v>43381.173495370371</v>
      </c>
      <c r="C65" s="2">
        <v>17.8</v>
      </c>
      <c r="D65" s="2">
        <v>17.899999999999999</v>
      </c>
      <c r="E65" s="2">
        <v>17.8</v>
      </c>
      <c r="F65" s="3">
        <v>0.67600000000000005</v>
      </c>
      <c r="G65" s="3">
        <v>0.66200000000000003</v>
      </c>
      <c r="H65" s="3">
        <v>0.64500000000000002</v>
      </c>
      <c r="I65" s="2">
        <f t="shared" si="3"/>
        <v>0</v>
      </c>
      <c r="J65" s="4">
        <f t="shared" si="4"/>
        <v>0.01</v>
      </c>
      <c r="K65" s="4">
        <f t="shared" si="5"/>
        <v>0.01</v>
      </c>
      <c r="L65" s="4">
        <f t="shared" si="6"/>
        <v>0.01</v>
      </c>
      <c r="M65" s="2">
        <v>100000</v>
      </c>
      <c r="N65" s="2">
        <v>100000</v>
      </c>
      <c r="O65" s="2">
        <v>100000</v>
      </c>
    </row>
    <row r="66" spans="1:15">
      <c r="A66" t="s">
        <v>65</v>
      </c>
      <c r="B66" s="1">
        <v>43381.182349537034</v>
      </c>
      <c r="C66" s="2">
        <v>17.899999999999999</v>
      </c>
      <c r="D66" s="2">
        <v>17.899999999999999</v>
      </c>
      <c r="E66" s="2">
        <v>17.8</v>
      </c>
      <c r="F66" s="3">
        <v>0.67700000000000005</v>
      </c>
      <c r="G66" s="3">
        <v>0.66300000000000003</v>
      </c>
      <c r="H66" s="3">
        <v>0.64600000000000002</v>
      </c>
      <c r="I66" s="2">
        <f t="shared" si="3"/>
        <v>0</v>
      </c>
      <c r="J66" s="4">
        <f t="shared" si="4"/>
        <v>0.01</v>
      </c>
      <c r="K66" s="4">
        <f t="shared" si="5"/>
        <v>0.01</v>
      </c>
      <c r="L66" s="4">
        <f t="shared" si="6"/>
        <v>0.01</v>
      </c>
      <c r="M66" s="2">
        <v>100000</v>
      </c>
      <c r="N66" s="2">
        <v>100000</v>
      </c>
      <c r="O66" s="2">
        <v>100000</v>
      </c>
    </row>
    <row r="67" spans="1:15">
      <c r="A67" t="s">
        <v>66</v>
      </c>
      <c r="B67" s="1">
        <v>43381.191180555557</v>
      </c>
      <c r="C67" s="2">
        <v>17.8</v>
      </c>
      <c r="D67" s="2">
        <v>17.899999999999999</v>
      </c>
      <c r="E67" s="2">
        <v>17.8</v>
      </c>
      <c r="F67" s="3">
        <v>0.67800000000000005</v>
      </c>
      <c r="G67" s="3">
        <v>0.66300000000000003</v>
      </c>
      <c r="H67" s="3">
        <v>0.64700000000000002</v>
      </c>
      <c r="I67" s="2">
        <f t="shared" ref="I67:I123" si="7">AVERAGE(J67:L67)*100-1</f>
        <v>0</v>
      </c>
      <c r="J67" s="4">
        <f t="shared" si="4"/>
        <v>0.01</v>
      </c>
      <c r="K67" s="4">
        <f t="shared" si="5"/>
        <v>0.01</v>
      </c>
      <c r="L67" s="4">
        <f t="shared" si="6"/>
        <v>0.01</v>
      </c>
      <c r="M67" s="2">
        <v>100000</v>
      </c>
      <c r="N67" s="2">
        <v>100000</v>
      </c>
      <c r="O67" s="2">
        <v>100000</v>
      </c>
    </row>
    <row r="68" spans="1:15">
      <c r="A68" t="s">
        <v>67</v>
      </c>
      <c r="B68" s="1">
        <v>43381.200011574074</v>
      </c>
      <c r="C68" s="2">
        <v>17.899999999999999</v>
      </c>
      <c r="D68" s="2">
        <v>17.899999999999999</v>
      </c>
      <c r="E68" s="2">
        <v>17.8</v>
      </c>
      <c r="F68" s="3">
        <v>0.67900000000000005</v>
      </c>
      <c r="G68" s="3">
        <v>0.66400000000000003</v>
      </c>
      <c r="H68" s="3">
        <v>0.64800000000000002</v>
      </c>
      <c r="I68" s="2">
        <f t="shared" si="7"/>
        <v>0</v>
      </c>
      <c r="J68" s="4">
        <f t="shared" si="4"/>
        <v>0.01</v>
      </c>
      <c r="K68" s="4">
        <f t="shared" si="5"/>
        <v>0.01</v>
      </c>
      <c r="L68" s="4">
        <f t="shared" si="6"/>
        <v>0.01</v>
      </c>
      <c r="M68" s="2">
        <v>100000</v>
      </c>
      <c r="N68" s="2">
        <v>100000</v>
      </c>
      <c r="O68" s="2">
        <v>100000</v>
      </c>
    </row>
    <row r="69" spans="1:15">
      <c r="A69" t="s">
        <v>68</v>
      </c>
      <c r="B69" s="1">
        <v>43381.20884259259</v>
      </c>
      <c r="C69" s="2">
        <v>17.8</v>
      </c>
      <c r="D69" s="2">
        <v>17.899999999999999</v>
      </c>
      <c r="E69" s="2">
        <v>17.8</v>
      </c>
      <c r="F69" s="3">
        <v>0.67900000000000005</v>
      </c>
      <c r="G69" s="3">
        <v>0.66500000000000004</v>
      </c>
      <c r="H69" s="3">
        <v>0.64800000000000002</v>
      </c>
      <c r="I69" s="2">
        <f t="shared" si="7"/>
        <v>0</v>
      </c>
      <c r="J69" s="4">
        <f t="shared" si="4"/>
        <v>0.01</v>
      </c>
      <c r="K69" s="4">
        <f t="shared" si="5"/>
        <v>0.01</v>
      </c>
      <c r="L69" s="4">
        <f t="shared" si="6"/>
        <v>0.01</v>
      </c>
      <c r="M69" s="2">
        <v>100000</v>
      </c>
      <c r="N69" s="2">
        <v>100000</v>
      </c>
      <c r="O69" s="2">
        <v>100000</v>
      </c>
    </row>
    <row r="70" spans="1:15">
      <c r="A70" t="s">
        <v>69</v>
      </c>
      <c r="B70" s="1">
        <v>43381.217662037037</v>
      </c>
      <c r="C70" s="2">
        <v>17.8</v>
      </c>
      <c r="D70" s="2">
        <v>17.899999999999999</v>
      </c>
      <c r="E70" s="2">
        <v>17.7</v>
      </c>
      <c r="F70" s="3">
        <v>0.68</v>
      </c>
      <c r="G70" s="3">
        <v>0.66600000000000004</v>
      </c>
      <c r="H70" s="3">
        <v>0.64900000000000002</v>
      </c>
      <c r="I70" s="2">
        <f t="shared" si="7"/>
        <v>0</v>
      </c>
      <c r="J70" s="4">
        <f t="shared" si="4"/>
        <v>0.01</v>
      </c>
      <c r="K70" s="4">
        <f t="shared" si="5"/>
        <v>0.01</v>
      </c>
      <c r="L70" s="4">
        <f t="shared" si="6"/>
        <v>0.01</v>
      </c>
      <c r="M70" s="2">
        <v>100000</v>
      </c>
      <c r="N70" s="2">
        <v>100000</v>
      </c>
      <c r="O70" s="2">
        <v>100000</v>
      </c>
    </row>
    <row r="71" spans="1:15">
      <c r="A71" t="s">
        <v>70</v>
      </c>
      <c r="B71" s="1">
        <v>43381.235671296294</v>
      </c>
      <c r="C71" s="2">
        <v>17.8</v>
      </c>
      <c r="D71" s="2">
        <v>17.8</v>
      </c>
      <c r="E71" s="2">
        <v>17.7</v>
      </c>
      <c r="F71" s="3">
        <v>0.68200000000000005</v>
      </c>
      <c r="G71" s="3">
        <v>0.66700000000000004</v>
      </c>
      <c r="H71" s="3">
        <v>0.65</v>
      </c>
      <c r="I71" s="2">
        <f t="shared" si="7"/>
        <v>0</v>
      </c>
      <c r="J71" s="4">
        <f t="shared" si="4"/>
        <v>0.01</v>
      </c>
      <c r="K71" s="4">
        <f t="shared" si="5"/>
        <v>0.01</v>
      </c>
      <c r="L71" s="4">
        <f t="shared" si="6"/>
        <v>0.01</v>
      </c>
      <c r="M71" s="2">
        <v>100000</v>
      </c>
      <c r="N71" s="2">
        <v>100000</v>
      </c>
      <c r="O71" s="2">
        <v>100000</v>
      </c>
    </row>
    <row r="72" spans="1:15">
      <c r="A72" t="s">
        <v>71</v>
      </c>
      <c r="B72" s="1">
        <v>43381.244502314818</v>
      </c>
      <c r="C72" s="2">
        <v>17.8</v>
      </c>
      <c r="D72" s="2">
        <v>17.8</v>
      </c>
      <c r="E72" s="2">
        <v>17.7</v>
      </c>
      <c r="F72" s="3">
        <v>0.68200000000000005</v>
      </c>
      <c r="G72" s="3">
        <v>0.66700000000000004</v>
      </c>
      <c r="H72" s="3">
        <v>0.65100000000000002</v>
      </c>
      <c r="I72" s="2">
        <f t="shared" si="7"/>
        <v>0</v>
      </c>
      <c r="J72" s="4">
        <f t="shared" si="4"/>
        <v>0.01</v>
      </c>
      <c r="K72" s="4">
        <f t="shared" si="5"/>
        <v>0.01</v>
      </c>
      <c r="L72" s="4">
        <f t="shared" si="6"/>
        <v>0.01</v>
      </c>
      <c r="M72" s="2">
        <v>100000</v>
      </c>
      <c r="N72" s="2">
        <v>100000</v>
      </c>
      <c r="O72" s="2">
        <v>100000</v>
      </c>
    </row>
    <row r="73" spans="1:15">
      <c r="A73" t="s">
        <v>72</v>
      </c>
      <c r="B73" s="1">
        <v>43381.25335648148</v>
      </c>
      <c r="C73" s="2">
        <v>17.8</v>
      </c>
      <c r="D73" s="2">
        <v>17.8</v>
      </c>
      <c r="E73" s="2">
        <v>17.7</v>
      </c>
      <c r="F73" s="3">
        <v>0.68300000000000005</v>
      </c>
      <c r="G73" s="3">
        <v>0.66800000000000004</v>
      </c>
      <c r="H73" s="3">
        <v>0.65100000000000002</v>
      </c>
      <c r="I73" s="2">
        <f t="shared" si="7"/>
        <v>0</v>
      </c>
      <c r="J73" s="4">
        <f t="shared" si="4"/>
        <v>0.01</v>
      </c>
      <c r="K73" s="4">
        <f t="shared" si="5"/>
        <v>0.01</v>
      </c>
      <c r="L73" s="4">
        <f t="shared" si="6"/>
        <v>0.01</v>
      </c>
      <c r="M73" s="2">
        <v>100000</v>
      </c>
      <c r="N73" s="2">
        <v>100000</v>
      </c>
      <c r="O73" s="2">
        <v>100000</v>
      </c>
    </row>
    <row r="74" spans="1:15">
      <c r="A74" t="s">
        <v>73</v>
      </c>
      <c r="B74" s="1">
        <v>43381.262187499997</v>
      </c>
      <c r="C74" s="2">
        <v>17.8</v>
      </c>
      <c r="D74" s="2">
        <v>17.8</v>
      </c>
      <c r="E74" s="2">
        <v>17.7</v>
      </c>
      <c r="F74" s="3">
        <v>0.68300000000000005</v>
      </c>
      <c r="G74" s="3">
        <v>0.66900000000000004</v>
      </c>
      <c r="H74" s="3">
        <v>0.65200000000000002</v>
      </c>
      <c r="I74" s="2">
        <f t="shared" si="7"/>
        <v>0</v>
      </c>
      <c r="J74" s="4">
        <f t="shared" si="4"/>
        <v>0.01</v>
      </c>
      <c r="K74" s="4">
        <f t="shared" si="5"/>
        <v>0.01</v>
      </c>
      <c r="L74" s="4">
        <f t="shared" si="6"/>
        <v>0.01</v>
      </c>
      <c r="M74" s="2">
        <v>100000</v>
      </c>
      <c r="N74" s="2">
        <v>100000</v>
      </c>
      <c r="O74" s="2">
        <v>100000</v>
      </c>
    </row>
    <row r="75" spans="1:15">
      <c r="A75" t="s">
        <v>74</v>
      </c>
      <c r="B75" s="1">
        <v>43381.271018518521</v>
      </c>
      <c r="C75" s="2">
        <v>17.8</v>
      </c>
      <c r="D75" s="2">
        <v>17.8</v>
      </c>
      <c r="E75" s="2">
        <v>17.7</v>
      </c>
      <c r="F75" s="3">
        <v>0.68500000000000005</v>
      </c>
      <c r="G75" s="3">
        <v>0.67</v>
      </c>
      <c r="H75" s="3">
        <v>0.65500000000000003</v>
      </c>
      <c r="I75" s="2">
        <f t="shared" si="7"/>
        <v>0</v>
      </c>
      <c r="J75" s="4">
        <f t="shared" si="4"/>
        <v>0.01</v>
      </c>
      <c r="K75" s="4">
        <f t="shared" si="5"/>
        <v>0.01</v>
      </c>
      <c r="L75" s="4">
        <f t="shared" si="6"/>
        <v>0.01</v>
      </c>
      <c r="M75" s="2">
        <v>100000</v>
      </c>
      <c r="N75" s="2">
        <v>100000</v>
      </c>
      <c r="O75" s="2">
        <v>100000</v>
      </c>
    </row>
    <row r="76" spans="1:15">
      <c r="A76" t="s">
        <v>75</v>
      </c>
      <c r="B76" s="1">
        <v>43381.279849537037</v>
      </c>
      <c r="C76" s="2">
        <v>17.8</v>
      </c>
      <c r="D76" s="2">
        <v>17.8</v>
      </c>
      <c r="E76" s="2">
        <v>17.7</v>
      </c>
      <c r="F76" s="3">
        <v>0.68700000000000006</v>
      </c>
      <c r="G76" s="3">
        <v>0.67200000000000004</v>
      </c>
      <c r="H76" s="3">
        <v>0.65700000000000003</v>
      </c>
      <c r="I76" s="2">
        <f t="shared" si="7"/>
        <v>0</v>
      </c>
      <c r="J76" s="4">
        <f t="shared" si="4"/>
        <v>0.01</v>
      </c>
      <c r="K76" s="4">
        <f t="shared" si="5"/>
        <v>0.01</v>
      </c>
      <c r="L76" s="4">
        <f t="shared" si="6"/>
        <v>0.01</v>
      </c>
      <c r="M76" s="2">
        <v>100000</v>
      </c>
      <c r="N76" s="2">
        <v>100000</v>
      </c>
      <c r="O76" s="2">
        <v>100000</v>
      </c>
    </row>
    <row r="77" spans="1:15">
      <c r="A77" t="s">
        <v>76</v>
      </c>
      <c r="B77" s="1">
        <v>43381.288668981484</v>
      </c>
      <c r="C77" s="2">
        <v>17.8</v>
      </c>
      <c r="D77" s="2">
        <v>17.8</v>
      </c>
      <c r="E77" s="2">
        <v>17.8</v>
      </c>
      <c r="F77" s="3">
        <v>0.68700000000000006</v>
      </c>
      <c r="G77" s="3">
        <v>0.67300000000000004</v>
      </c>
      <c r="H77" s="3">
        <v>0.65700000000000003</v>
      </c>
      <c r="I77" s="2">
        <f t="shared" si="7"/>
        <v>0</v>
      </c>
      <c r="J77" s="4">
        <f t="shared" si="4"/>
        <v>0.01</v>
      </c>
      <c r="K77" s="4">
        <f t="shared" si="5"/>
        <v>0.01</v>
      </c>
      <c r="L77" s="4">
        <f t="shared" si="6"/>
        <v>0.01</v>
      </c>
      <c r="M77" s="2">
        <v>100000</v>
      </c>
      <c r="N77" s="2">
        <v>100000</v>
      </c>
      <c r="O77" s="2">
        <v>100000</v>
      </c>
    </row>
    <row r="78" spans="1:15">
      <c r="A78" t="s">
        <v>77</v>
      </c>
      <c r="B78" s="1">
        <v>43381.297500000001</v>
      </c>
      <c r="C78" s="2">
        <v>17.8</v>
      </c>
      <c r="D78" s="2">
        <v>17.899999999999999</v>
      </c>
      <c r="E78" s="2">
        <v>17.7</v>
      </c>
      <c r="F78" s="3">
        <v>0.68899999999999995</v>
      </c>
      <c r="G78" s="3">
        <v>0.67500000000000004</v>
      </c>
      <c r="H78" s="3">
        <v>0.65900000000000003</v>
      </c>
      <c r="I78" s="2">
        <f t="shared" si="7"/>
        <v>0</v>
      </c>
      <c r="J78" s="4">
        <f t="shared" si="4"/>
        <v>0.01</v>
      </c>
      <c r="K78" s="4">
        <f t="shared" si="5"/>
        <v>0.01</v>
      </c>
      <c r="L78" s="4">
        <f t="shared" si="6"/>
        <v>0.01</v>
      </c>
      <c r="M78" s="2">
        <v>100000</v>
      </c>
      <c r="N78" s="2">
        <v>100000</v>
      </c>
      <c r="O78" s="2">
        <v>100000</v>
      </c>
    </row>
    <row r="79" spans="1:15">
      <c r="A79" t="s">
        <v>78</v>
      </c>
      <c r="B79" s="1">
        <v>43381.306331018517</v>
      </c>
      <c r="C79" s="2">
        <v>17.8</v>
      </c>
      <c r="D79" s="2">
        <v>17.899999999999999</v>
      </c>
      <c r="E79" s="2">
        <v>17.8</v>
      </c>
      <c r="F79" s="3">
        <v>0.68799999999999994</v>
      </c>
      <c r="G79" s="3">
        <v>0.67500000000000004</v>
      </c>
      <c r="H79" s="3">
        <v>0.65900000000000003</v>
      </c>
      <c r="I79" s="2">
        <f t="shared" si="7"/>
        <v>0.12950749107874326</v>
      </c>
      <c r="J79" s="4">
        <f t="shared" si="4"/>
        <v>0.01</v>
      </c>
      <c r="K79" s="4">
        <f t="shared" si="5"/>
        <v>1.3885224732362294E-2</v>
      </c>
      <c r="L79" s="4">
        <f t="shared" si="6"/>
        <v>0.01</v>
      </c>
      <c r="M79" s="2">
        <v>100000</v>
      </c>
      <c r="N79" s="2">
        <v>72019</v>
      </c>
      <c r="O79" s="2">
        <v>100000</v>
      </c>
    </row>
    <row r="80" spans="1:15">
      <c r="A80" t="s">
        <v>79</v>
      </c>
      <c r="B80" s="1">
        <v>43381.315138888887</v>
      </c>
      <c r="C80" s="2">
        <v>17.8</v>
      </c>
      <c r="D80" s="2">
        <v>17.899999999999999</v>
      </c>
      <c r="E80" s="2">
        <v>17.8</v>
      </c>
      <c r="F80" s="3">
        <v>0.68799999999999994</v>
      </c>
      <c r="G80" s="3">
        <v>0.67500000000000004</v>
      </c>
      <c r="H80" s="3">
        <v>0.65900000000000003</v>
      </c>
      <c r="I80" s="2">
        <f t="shared" si="7"/>
        <v>3.0373150194113405</v>
      </c>
      <c r="J80" s="4">
        <f t="shared" si="4"/>
        <v>2.9382382323558793E-2</v>
      </c>
      <c r="K80" s="4">
        <f t="shared" si="5"/>
        <v>6.1057516180241786E-2</v>
      </c>
      <c r="L80" s="4">
        <f t="shared" si="6"/>
        <v>3.0679552078539653E-2</v>
      </c>
      <c r="M80" s="2">
        <v>34034</v>
      </c>
      <c r="N80" s="2">
        <v>16378</v>
      </c>
      <c r="O80" s="2">
        <v>32595</v>
      </c>
    </row>
    <row r="81" spans="1:15">
      <c r="A81" t="s">
        <v>80</v>
      </c>
      <c r="B81" s="1">
        <v>43381.32402777778</v>
      </c>
      <c r="C81" s="2">
        <v>17.899999999999999</v>
      </c>
      <c r="D81" s="2">
        <v>17.899999999999999</v>
      </c>
      <c r="E81" s="2">
        <v>17.8</v>
      </c>
      <c r="F81" s="3">
        <v>0.69099999999999995</v>
      </c>
      <c r="G81" s="3">
        <v>0.67900000000000005</v>
      </c>
      <c r="H81" s="3">
        <v>0.66200000000000003</v>
      </c>
      <c r="I81" s="2">
        <f t="shared" si="7"/>
        <v>5.1375322698217678</v>
      </c>
      <c r="J81" s="4">
        <f t="shared" si="4"/>
        <v>5.0942435048395317E-2</v>
      </c>
      <c r="K81" s="4">
        <f t="shared" si="5"/>
        <v>8.3208520552504578E-2</v>
      </c>
      <c r="L81" s="4">
        <f t="shared" si="6"/>
        <v>4.9975012493753121E-2</v>
      </c>
      <c r="M81" s="2">
        <v>19630</v>
      </c>
      <c r="N81" s="2">
        <v>12018</v>
      </c>
      <c r="O81" s="2">
        <v>20010</v>
      </c>
    </row>
    <row r="82" spans="1:15">
      <c r="A82" t="s">
        <v>81</v>
      </c>
      <c r="B82" s="1">
        <v>43381.332835648151</v>
      </c>
      <c r="C82" s="2">
        <v>17.899999999999999</v>
      </c>
      <c r="D82" s="2">
        <v>17.899999999999999</v>
      </c>
      <c r="E82" s="2">
        <v>17.8</v>
      </c>
      <c r="F82" s="3">
        <v>0.69499999999999995</v>
      </c>
      <c r="G82" s="3">
        <v>0.68100000000000005</v>
      </c>
      <c r="H82" s="3">
        <v>0.66500000000000004</v>
      </c>
      <c r="I82" s="2">
        <f t="shared" si="7"/>
        <v>7.0226521386033038</v>
      </c>
      <c r="J82" s="4">
        <f t="shared" si="4"/>
        <v>6.9983903702148506E-2</v>
      </c>
      <c r="K82" s="4">
        <f t="shared" si="5"/>
        <v>0.10391769718383041</v>
      </c>
      <c r="L82" s="4">
        <f t="shared" si="6"/>
        <v>6.6777963272120197E-2</v>
      </c>
      <c r="M82" s="2">
        <v>14289</v>
      </c>
      <c r="N82" s="2">
        <v>9623</v>
      </c>
      <c r="O82" s="2">
        <v>14975</v>
      </c>
    </row>
    <row r="83" spans="1:15">
      <c r="A83" t="s">
        <v>82</v>
      </c>
      <c r="B83" s="1">
        <v>43381.341643518521</v>
      </c>
      <c r="C83" s="2">
        <v>17.8</v>
      </c>
      <c r="D83" s="2">
        <v>17.899999999999999</v>
      </c>
      <c r="E83" s="2">
        <v>17.8</v>
      </c>
      <c r="F83" s="3">
        <v>0.69499999999999995</v>
      </c>
      <c r="G83" s="3">
        <v>0.68100000000000005</v>
      </c>
      <c r="H83" s="3">
        <v>0.66500000000000004</v>
      </c>
      <c r="I83" s="2">
        <f t="shared" si="7"/>
        <v>6.5620604083074205</v>
      </c>
      <c r="J83" s="4">
        <f t="shared" si="4"/>
        <v>6.0701711788272432E-2</v>
      </c>
      <c r="K83" s="4">
        <f t="shared" si="5"/>
        <v>0.10206164523372117</v>
      </c>
      <c r="L83" s="4">
        <f t="shared" si="6"/>
        <v>6.4098455227229026E-2</v>
      </c>
      <c r="M83" s="2">
        <v>16474</v>
      </c>
      <c r="N83" s="2">
        <v>9798</v>
      </c>
      <c r="O83" s="2">
        <v>15601</v>
      </c>
    </row>
    <row r="84" spans="1:15">
      <c r="A84" t="s">
        <v>83</v>
      </c>
      <c r="B84" s="1">
        <v>43381.350439814814</v>
      </c>
      <c r="C84" s="2">
        <v>17.899999999999999</v>
      </c>
      <c r="D84" s="2">
        <v>17.899999999999999</v>
      </c>
      <c r="E84" s="2">
        <v>17.8</v>
      </c>
      <c r="F84" s="3">
        <v>0.69499999999999995</v>
      </c>
      <c r="G84" s="3">
        <v>0.68100000000000005</v>
      </c>
      <c r="H84" s="3">
        <v>0.66500000000000004</v>
      </c>
      <c r="I84" s="2">
        <f t="shared" si="7"/>
        <v>8.557406257939725</v>
      </c>
      <c r="J84" s="4">
        <f t="shared" si="4"/>
        <v>8.3808246731478381E-2</v>
      </c>
      <c r="K84" s="4">
        <f t="shared" si="5"/>
        <v>0.12181751735899622</v>
      </c>
      <c r="L84" s="4">
        <f t="shared" si="6"/>
        <v>8.1096423647717131E-2</v>
      </c>
      <c r="M84" s="2">
        <v>11932</v>
      </c>
      <c r="N84" s="2">
        <v>8209</v>
      </c>
      <c r="O84" s="2">
        <v>12331</v>
      </c>
    </row>
    <row r="85" spans="1:15">
      <c r="A85" t="s">
        <v>84</v>
      </c>
      <c r="B85" s="1">
        <v>43381.359247685185</v>
      </c>
      <c r="C85" s="2">
        <v>17.899999999999999</v>
      </c>
      <c r="D85" s="2">
        <v>17.899999999999999</v>
      </c>
      <c r="E85" s="2">
        <v>17.8</v>
      </c>
      <c r="F85" s="3">
        <v>0.69599999999999995</v>
      </c>
      <c r="G85" s="3">
        <v>0.68300000000000005</v>
      </c>
      <c r="H85" s="3">
        <v>0.66600000000000004</v>
      </c>
      <c r="I85" s="2">
        <f t="shared" si="7"/>
        <v>9.7632090441596393</v>
      </c>
      <c r="J85" s="4">
        <f t="shared" si="4"/>
        <v>9.4455464248606777E-2</v>
      </c>
      <c r="K85" s="4">
        <f t="shared" si="5"/>
        <v>0.13397642015005359</v>
      </c>
      <c r="L85" s="4">
        <f t="shared" si="6"/>
        <v>9.4464386926128852E-2</v>
      </c>
      <c r="M85" s="2">
        <v>10587</v>
      </c>
      <c r="N85" s="2">
        <v>7464</v>
      </c>
      <c r="O85" s="2">
        <v>10586</v>
      </c>
    </row>
    <row r="86" spans="1:15">
      <c r="A86" t="s">
        <v>85</v>
      </c>
      <c r="B86" s="1">
        <v>43381.368055555555</v>
      </c>
      <c r="C86" s="2">
        <v>17.8</v>
      </c>
      <c r="D86" s="2">
        <v>17.899999999999999</v>
      </c>
      <c r="E86" s="2">
        <v>17.8</v>
      </c>
      <c r="F86" s="3">
        <v>0.69499999999999995</v>
      </c>
      <c r="G86" s="3">
        <v>0.68100000000000005</v>
      </c>
      <c r="H86" s="3">
        <v>0.66400000000000003</v>
      </c>
      <c r="I86" s="2">
        <f t="shared" si="7"/>
        <v>11.827177154599703</v>
      </c>
      <c r="J86" s="4">
        <f t="shared" si="4"/>
        <v>0.11012003083360863</v>
      </c>
      <c r="K86" s="4">
        <f t="shared" si="5"/>
        <v>0.16048788316482104</v>
      </c>
      <c r="L86" s="4">
        <f t="shared" si="6"/>
        <v>0.11420740063956145</v>
      </c>
      <c r="M86" s="2">
        <v>9081</v>
      </c>
      <c r="N86" s="2">
        <v>6231</v>
      </c>
      <c r="O86" s="2">
        <v>8756</v>
      </c>
    </row>
    <row r="87" spans="1:15">
      <c r="A87" t="s">
        <v>86</v>
      </c>
      <c r="B87" s="1">
        <v>43381.376851851855</v>
      </c>
      <c r="C87" s="2">
        <v>17.8</v>
      </c>
      <c r="D87" s="2">
        <v>17.899999999999999</v>
      </c>
      <c r="E87" s="2">
        <v>17.8</v>
      </c>
      <c r="F87" s="3">
        <v>0.69299999999999995</v>
      </c>
      <c r="G87" s="3">
        <v>0.67900000000000005</v>
      </c>
      <c r="H87" s="3">
        <v>0.66300000000000003</v>
      </c>
      <c r="I87" s="2">
        <f t="shared" si="7"/>
        <v>17.673348213724715</v>
      </c>
      <c r="J87" s="4">
        <f t="shared" si="4"/>
        <v>0.15725743041358703</v>
      </c>
      <c r="K87" s="4">
        <f t="shared" si="5"/>
        <v>0.22784233310549101</v>
      </c>
      <c r="L87" s="4">
        <f t="shared" si="6"/>
        <v>0.17510068289266328</v>
      </c>
      <c r="M87" s="2">
        <v>6359</v>
      </c>
      <c r="N87" s="2">
        <v>4389</v>
      </c>
      <c r="O87" s="2">
        <v>5711</v>
      </c>
    </row>
    <row r="88" spans="1:15">
      <c r="A88" t="s">
        <v>87</v>
      </c>
      <c r="B88" s="1">
        <v>43381.386030092595</v>
      </c>
      <c r="C88" s="2">
        <v>17.8</v>
      </c>
      <c r="D88" s="2">
        <v>17.899999999999999</v>
      </c>
      <c r="E88" s="2">
        <v>17.8</v>
      </c>
      <c r="F88" s="3">
        <v>0.69199999999999995</v>
      </c>
      <c r="G88" s="3">
        <v>0.67800000000000005</v>
      </c>
      <c r="H88" s="3">
        <v>0.66200000000000003</v>
      </c>
      <c r="I88" s="2">
        <f t="shared" si="7"/>
        <v>21.250065672344476</v>
      </c>
      <c r="J88" s="4">
        <f t="shared" si="4"/>
        <v>0.18779342723004694</v>
      </c>
      <c r="K88" s="4">
        <f t="shared" si="5"/>
        <v>0.2735229759299781</v>
      </c>
      <c r="L88" s="4">
        <f t="shared" si="6"/>
        <v>0.20618556701030927</v>
      </c>
      <c r="M88" s="2">
        <v>5325</v>
      </c>
      <c r="N88" s="2">
        <v>3656</v>
      </c>
      <c r="O88" s="2">
        <v>4850</v>
      </c>
    </row>
    <row r="89" spans="1:15">
      <c r="A89" t="s">
        <v>88</v>
      </c>
      <c r="B89" s="1">
        <v>43381.394884259258</v>
      </c>
      <c r="C89" s="2">
        <v>17.8</v>
      </c>
      <c r="D89" s="2">
        <v>17.899999999999999</v>
      </c>
      <c r="E89" s="2">
        <v>17.8</v>
      </c>
      <c r="F89" s="3">
        <v>0.69199999999999995</v>
      </c>
      <c r="G89" s="3">
        <v>0.67800000000000005</v>
      </c>
      <c r="H89" s="3">
        <v>0.66200000000000003</v>
      </c>
      <c r="I89" s="2">
        <f t="shared" si="7"/>
        <v>15.488397336012209</v>
      </c>
      <c r="J89" s="4">
        <f t="shared" si="4"/>
        <v>0.14192449616803859</v>
      </c>
      <c r="K89" s="4">
        <f t="shared" si="5"/>
        <v>0.2038735983690112</v>
      </c>
      <c r="L89" s="4">
        <f t="shared" si="6"/>
        <v>0.14885382554331647</v>
      </c>
      <c r="M89" s="2">
        <v>7046</v>
      </c>
      <c r="N89" s="2">
        <v>4905</v>
      </c>
      <c r="O89" s="2">
        <v>6718</v>
      </c>
    </row>
    <row r="90" spans="1:15">
      <c r="A90" t="s">
        <v>89</v>
      </c>
      <c r="B90" s="1">
        <v>43381.403715277775</v>
      </c>
      <c r="C90" s="2">
        <v>17.8</v>
      </c>
      <c r="D90" s="2">
        <v>17.899999999999999</v>
      </c>
      <c r="E90" s="2">
        <v>17.8</v>
      </c>
      <c r="F90" s="3">
        <v>0.69499999999999995</v>
      </c>
      <c r="G90" s="3">
        <v>0.68100000000000005</v>
      </c>
      <c r="H90" s="3">
        <v>0.66500000000000004</v>
      </c>
      <c r="I90" s="2">
        <f t="shared" si="7"/>
        <v>17.880196243202001</v>
      </c>
      <c r="J90" s="4">
        <f t="shared" si="4"/>
        <v>0.15976993129892955</v>
      </c>
      <c r="K90" s="4">
        <f t="shared" si="5"/>
        <v>0.23353573096683794</v>
      </c>
      <c r="L90" s="4">
        <f t="shared" si="6"/>
        <v>0.17310022503029254</v>
      </c>
      <c r="M90" s="2">
        <v>6259</v>
      </c>
      <c r="N90" s="2">
        <v>4282</v>
      </c>
      <c r="O90" s="2">
        <v>5777</v>
      </c>
    </row>
    <row r="91" spans="1:15">
      <c r="A91" t="s">
        <v>90</v>
      </c>
      <c r="B91" s="1">
        <v>43381.412523148145</v>
      </c>
      <c r="C91" s="2">
        <v>17.8</v>
      </c>
      <c r="D91" s="2">
        <v>17.899999999999999</v>
      </c>
      <c r="E91" s="2">
        <v>17.8</v>
      </c>
      <c r="F91" s="3">
        <v>0.69899999999999995</v>
      </c>
      <c r="G91" s="3">
        <v>0.68400000000000005</v>
      </c>
      <c r="H91" s="3">
        <v>0.66900000000000004</v>
      </c>
      <c r="I91" s="2">
        <f t="shared" si="7"/>
        <v>19.458971794010548</v>
      </c>
      <c r="J91" s="4">
        <f t="shared" si="4"/>
        <v>0.17388280299078421</v>
      </c>
      <c r="K91" s="4">
        <f t="shared" si="5"/>
        <v>0.25031289111389238</v>
      </c>
      <c r="L91" s="4">
        <f t="shared" si="6"/>
        <v>0.1895734597156398</v>
      </c>
      <c r="M91" s="2">
        <v>5751</v>
      </c>
      <c r="N91" s="2">
        <v>3995</v>
      </c>
      <c r="O91" s="2">
        <v>5275</v>
      </c>
    </row>
    <row r="92" spans="1:15">
      <c r="A92" t="s">
        <v>91</v>
      </c>
      <c r="B92" s="1">
        <v>43381.421319444446</v>
      </c>
      <c r="C92" s="2">
        <v>17.899999999999999</v>
      </c>
      <c r="D92" s="2">
        <v>17.899999999999999</v>
      </c>
      <c r="E92" s="2">
        <v>17.8</v>
      </c>
      <c r="F92" s="3">
        <v>0.7</v>
      </c>
      <c r="G92" s="3">
        <v>0.68600000000000005</v>
      </c>
      <c r="H92" s="3">
        <v>0.67</v>
      </c>
      <c r="I92" s="2">
        <f t="shared" si="7"/>
        <v>30.225974116680717</v>
      </c>
      <c r="J92" s="4">
        <f t="shared" si="4"/>
        <v>0.2635740643120717</v>
      </c>
      <c r="K92" s="4">
        <f t="shared" si="5"/>
        <v>0.37425149700598803</v>
      </c>
      <c r="L92" s="4">
        <f t="shared" si="6"/>
        <v>0.29895366218236175</v>
      </c>
      <c r="M92" s="2">
        <v>3794</v>
      </c>
      <c r="N92" s="2">
        <v>2672</v>
      </c>
      <c r="O92" s="2">
        <v>3345</v>
      </c>
    </row>
    <row r="93" spans="1:15">
      <c r="A93" t="s">
        <v>92</v>
      </c>
      <c r="B93" s="1">
        <v>43381.430127314816</v>
      </c>
      <c r="C93" s="2">
        <v>17.899999999999999</v>
      </c>
      <c r="D93" s="2">
        <v>17.899999999999999</v>
      </c>
      <c r="E93" s="2">
        <v>17.8</v>
      </c>
      <c r="F93" s="3">
        <v>0.7</v>
      </c>
      <c r="G93" s="3">
        <v>0.68500000000000005</v>
      </c>
      <c r="H93" s="3">
        <v>0.67</v>
      </c>
      <c r="I93" s="2">
        <f t="shared" si="7"/>
        <v>28.85166823749914</v>
      </c>
      <c r="J93" s="4">
        <f t="shared" si="4"/>
        <v>0.25342118601115055</v>
      </c>
      <c r="K93" s="4">
        <f t="shared" si="5"/>
        <v>0.35803795202291444</v>
      </c>
      <c r="L93" s="4">
        <f t="shared" si="6"/>
        <v>0.28409090909090912</v>
      </c>
      <c r="M93" s="2">
        <v>3946</v>
      </c>
      <c r="N93" s="2">
        <v>2793</v>
      </c>
      <c r="O93" s="2">
        <v>3520</v>
      </c>
    </row>
    <row r="94" spans="1:15">
      <c r="A94" t="s">
        <v>93</v>
      </c>
      <c r="B94" s="1">
        <v>43381.438923611109</v>
      </c>
      <c r="C94" s="2">
        <v>17.899999999999999</v>
      </c>
      <c r="D94" s="2">
        <v>17.899999999999999</v>
      </c>
      <c r="E94" s="2">
        <v>17.8</v>
      </c>
      <c r="F94" s="3">
        <v>0.71599999999999997</v>
      </c>
      <c r="G94" s="3">
        <v>0.70199999999999996</v>
      </c>
      <c r="H94" s="3">
        <v>0.68700000000000006</v>
      </c>
      <c r="I94" s="2">
        <f t="shared" si="7"/>
        <v>34.905937437721995</v>
      </c>
      <c r="J94" s="4">
        <f t="shared" si="4"/>
        <v>0.30422878004259202</v>
      </c>
      <c r="K94" s="4">
        <f t="shared" si="5"/>
        <v>0.42716787697565145</v>
      </c>
      <c r="L94" s="4">
        <f t="shared" si="6"/>
        <v>0.34578146611341631</v>
      </c>
      <c r="M94" s="2">
        <v>3287</v>
      </c>
      <c r="N94" s="2">
        <v>2341</v>
      </c>
      <c r="O94" s="2">
        <v>2892</v>
      </c>
    </row>
    <row r="95" spans="1:15">
      <c r="A95" t="s">
        <v>94</v>
      </c>
      <c r="B95" s="1">
        <v>43381.44771990741</v>
      </c>
      <c r="C95" s="2">
        <v>17.899999999999999</v>
      </c>
      <c r="D95" s="2">
        <v>17.899999999999999</v>
      </c>
      <c r="E95" s="2">
        <v>17.8</v>
      </c>
      <c r="F95" s="3">
        <v>0.73099999999999998</v>
      </c>
      <c r="G95" s="3">
        <v>0.71699999999999997</v>
      </c>
      <c r="H95" s="3">
        <v>0.70199999999999996</v>
      </c>
      <c r="I95" s="2">
        <f t="shared" si="7"/>
        <v>45.838515466187516</v>
      </c>
      <c r="J95" s="4">
        <f t="shared" si="4"/>
        <v>0.39745627980922099</v>
      </c>
      <c r="K95" s="4">
        <f t="shared" si="5"/>
        <v>0.5506607929515418</v>
      </c>
      <c r="L95" s="4">
        <f t="shared" si="6"/>
        <v>0.45703839122486289</v>
      </c>
      <c r="M95" s="2">
        <v>2516</v>
      </c>
      <c r="N95" s="2">
        <v>1816</v>
      </c>
      <c r="O95" s="2">
        <v>2188</v>
      </c>
    </row>
    <row r="96" spans="1:15">
      <c r="A96" t="s">
        <v>95</v>
      </c>
      <c r="B96" s="1">
        <v>43381.456516203703</v>
      </c>
      <c r="C96" s="2">
        <v>17.899999999999999</v>
      </c>
      <c r="D96" s="2">
        <v>17.899999999999999</v>
      </c>
      <c r="E96" s="2">
        <v>17.8</v>
      </c>
      <c r="F96" s="3">
        <v>0.72499999999999998</v>
      </c>
      <c r="G96" s="3">
        <v>0.71</v>
      </c>
      <c r="H96" s="3">
        <v>0.69499999999999995</v>
      </c>
      <c r="I96" s="2">
        <f t="shared" si="7"/>
        <v>50.956506488648898</v>
      </c>
      <c r="J96" s="4">
        <f t="shared" si="4"/>
        <v>0.44306601683650865</v>
      </c>
      <c r="K96" s="4">
        <f t="shared" si="5"/>
        <v>0.6082725060827251</v>
      </c>
      <c r="L96" s="4">
        <f t="shared" si="6"/>
        <v>0.50735667174023336</v>
      </c>
      <c r="M96" s="2">
        <v>2257</v>
      </c>
      <c r="N96" s="2">
        <v>1644</v>
      </c>
      <c r="O96" s="2">
        <v>1971</v>
      </c>
    </row>
    <row r="97" spans="1:15">
      <c r="A97" t="s">
        <v>96</v>
      </c>
      <c r="B97" s="1">
        <v>43381.465324074074</v>
      </c>
      <c r="C97" s="2">
        <v>17.899999999999999</v>
      </c>
      <c r="D97" s="2">
        <v>17.899999999999999</v>
      </c>
      <c r="E97" s="2">
        <v>17.8</v>
      </c>
      <c r="F97" s="3">
        <v>0.71899999999999997</v>
      </c>
      <c r="G97" s="3">
        <v>0.70399999999999996</v>
      </c>
      <c r="H97" s="3">
        <v>0.68799999999999994</v>
      </c>
      <c r="I97" s="2">
        <f t="shared" si="7"/>
        <v>55.145007313424031</v>
      </c>
      <c r="J97" s="4">
        <f t="shared" si="4"/>
        <v>0.47483380816714149</v>
      </c>
      <c r="K97" s="4">
        <f t="shared" si="5"/>
        <v>0.65703022339027595</v>
      </c>
      <c r="L97" s="4">
        <f t="shared" si="6"/>
        <v>0.5524861878453039</v>
      </c>
      <c r="M97" s="2">
        <v>2106</v>
      </c>
      <c r="N97" s="2">
        <v>1522</v>
      </c>
      <c r="O97" s="2">
        <v>1810</v>
      </c>
    </row>
    <row r="98" spans="1:15">
      <c r="A98" t="s">
        <v>97</v>
      </c>
      <c r="B98" s="1">
        <v>43381.474143518521</v>
      </c>
      <c r="C98" s="2">
        <v>17.899999999999999</v>
      </c>
      <c r="D98" s="2">
        <v>17.899999999999999</v>
      </c>
      <c r="E98" s="2">
        <v>17.8</v>
      </c>
      <c r="F98" s="3">
        <v>0.71099999999999997</v>
      </c>
      <c r="G98" s="3">
        <v>0.69599999999999995</v>
      </c>
      <c r="H98" s="3">
        <v>0.68</v>
      </c>
      <c r="I98" s="2">
        <f t="shared" si="7"/>
        <v>45.594976089151594</v>
      </c>
      <c r="J98" s="4">
        <f t="shared" si="4"/>
        <v>0.39510075069142631</v>
      </c>
      <c r="K98" s="4">
        <f t="shared" si="5"/>
        <v>0.55005500550055009</v>
      </c>
      <c r="L98" s="4">
        <f t="shared" si="6"/>
        <v>0.45269352648257127</v>
      </c>
      <c r="M98" s="2">
        <v>2531</v>
      </c>
      <c r="N98" s="2">
        <v>1818</v>
      </c>
      <c r="O98" s="2">
        <v>2209</v>
      </c>
    </row>
    <row r="99" spans="1:15">
      <c r="A99" t="s">
        <v>98</v>
      </c>
      <c r="B99" s="1">
        <v>43381.482951388891</v>
      </c>
      <c r="C99" s="2">
        <v>17.899999999999999</v>
      </c>
      <c r="D99" s="2">
        <v>17.899999999999999</v>
      </c>
      <c r="E99" s="2">
        <v>17.8</v>
      </c>
      <c r="F99" s="3">
        <v>0.70299999999999996</v>
      </c>
      <c r="G99" s="3">
        <v>0.68799999999999994</v>
      </c>
      <c r="H99" s="3">
        <v>0.67200000000000004</v>
      </c>
      <c r="I99" s="2">
        <f t="shared" si="7"/>
        <v>52.574955631007569</v>
      </c>
      <c r="J99" s="4">
        <f t="shared" si="4"/>
        <v>0.45392646391284613</v>
      </c>
      <c r="K99" s="4">
        <f t="shared" si="5"/>
        <v>0.6261740763932373</v>
      </c>
      <c r="L99" s="4">
        <f t="shared" si="6"/>
        <v>0.5271481286241434</v>
      </c>
      <c r="M99" s="2">
        <v>2203</v>
      </c>
      <c r="N99" s="2">
        <v>1597</v>
      </c>
      <c r="O99" s="2">
        <v>1897</v>
      </c>
    </row>
    <row r="100" spans="1:15">
      <c r="A100" t="s">
        <v>99</v>
      </c>
      <c r="B100" s="1">
        <v>43381.491770833331</v>
      </c>
      <c r="C100" s="2">
        <v>17.899999999999999</v>
      </c>
      <c r="D100" s="2">
        <v>17.899999999999999</v>
      </c>
      <c r="E100" s="2">
        <v>17.8</v>
      </c>
      <c r="F100" s="3">
        <v>0.69899999999999995</v>
      </c>
      <c r="G100" s="3">
        <v>0.68300000000000005</v>
      </c>
      <c r="H100" s="3">
        <v>0.66700000000000004</v>
      </c>
      <c r="I100" s="2">
        <f t="shared" si="7"/>
        <v>54.813777421074526</v>
      </c>
      <c r="J100" s="4">
        <f t="shared" si="4"/>
        <v>0.47258979206049151</v>
      </c>
      <c r="K100" s="4">
        <f t="shared" si="5"/>
        <v>0.65146579804560256</v>
      </c>
      <c r="L100" s="4">
        <f t="shared" si="6"/>
        <v>0.55035773252614195</v>
      </c>
      <c r="M100" s="2">
        <v>2116</v>
      </c>
      <c r="N100" s="2">
        <v>1535</v>
      </c>
      <c r="O100" s="2">
        <v>1817</v>
      </c>
    </row>
    <row r="101" spans="1:15">
      <c r="A101" t="s">
        <v>100</v>
      </c>
      <c r="B101" s="1">
        <v>43381.500578703701</v>
      </c>
      <c r="C101" s="2">
        <v>17.899999999999999</v>
      </c>
      <c r="D101" s="2">
        <v>17.899999999999999</v>
      </c>
      <c r="E101" s="2">
        <v>17.8</v>
      </c>
      <c r="F101" s="3">
        <v>0.69299999999999995</v>
      </c>
      <c r="G101" s="3">
        <v>0.67800000000000005</v>
      </c>
      <c r="H101" s="3">
        <v>0.66100000000000003</v>
      </c>
      <c r="I101" s="2">
        <f t="shared" si="7"/>
        <v>60.078733132438323</v>
      </c>
      <c r="J101" s="4">
        <f t="shared" si="4"/>
        <v>0.50684237202230109</v>
      </c>
      <c r="K101" s="4">
        <f t="shared" si="5"/>
        <v>0.72992700729927007</v>
      </c>
      <c r="L101" s="4">
        <f t="shared" si="6"/>
        <v>0.59559261465157831</v>
      </c>
      <c r="M101" s="2">
        <v>1973</v>
      </c>
      <c r="N101" s="2">
        <v>1370</v>
      </c>
      <c r="O101" s="2">
        <v>1679</v>
      </c>
    </row>
    <row r="102" spans="1:15">
      <c r="A102" t="s">
        <v>101</v>
      </c>
      <c r="B102" s="1">
        <v>43381.509375000001</v>
      </c>
      <c r="C102" s="2">
        <v>17.899999999999999</v>
      </c>
      <c r="D102" s="2">
        <v>18</v>
      </c>
      <c r="E102" s="2">
        <v>17.8</v>
      </c>
      <c r="F102" s="3">
        <v>0.68799999999999994</v>
      </c>
      <c r="G102" s="3">
        <v>0.67300000000000004</v>
      </c>
      <c r="H102" s="3">
        <v>0.65700000000000003</v>
      </c>
      <c r="I102" s="2">
        <f t="shared" si="7"/>
        <v>59.083091627253395</v>
      </c>
      <c r="J102" s="4">
        <f t="shared" si="4"/>
        <v>0.5083884087442806</v>
      </c>
      <c r="K102" s="4">
        <f t="shared" si="5"/>
        <v>0.70028011204481788</v>
      </c>
      <c r="L102" s="4">
        <f t="shared" si="6"/>
        <v>0.59382422802850354</v>
      </c>
      <c r="M102" s="2">
        <v>1967</v>
      </c>
      <c r="N102" s="2">
        <v>1428</v>
      </c>
      <c r="O102" s="2">
        <v>1684</v>
      </c>
    </row>
    <row r="103" spans="1:15">
      <c r="A103" t="s">
        <v>102</v>
      </c>
      <c r="B103" s="1">
        <v>43381.518171296295</v>
      </c>
      <c r="C103" s="2">
        <v>17.899999999999999</v>
      </c>
      <c r="D103" s="2">
        <v>17.899999999999999</v>
      </c>
      <c r="E103" s="2">
        <v>17.8</v>
      </c>
      <c r="F103" s="3">
        <v>0.68700000000000006</v>
      </c>
      <c r="G103" s="3">
        <v>0.67100000000000004</v>
      </c>
      <c r="H103" s="3">
        <v>0.65500000000000003</v>
      </c>
      <c r="I103" s="2">
        <f t="shared" si="7"/>
        <v>55.569171373426741</v>
      </c>
      <c r="J103" s="4">
        <f t="shared" si="4"/>
        <v>0.4784688995215311</v>
      </c>
      <c r="K103" s="4">
        <f t="shared" si="5"/>
        <v>0.66181336863004636</v>
      </c>
      <c r="L103" s="4">
        <f t="shared" si="6"/>
        <v>0.55679287305122493</v>
      </c>
      <c r="M103" s="2">
        <v>2090</v>
      </c>
      <c r="N103" s="2">
        <v>1511</v>
      </c>
      <c r="O103" s="2">
        <v>1796</v>
      </c>
    </row>
    <row r="104" spans="1:15">
      <c r="A104" t="s">
        <v>103</v>
      </c>
      <c r="B104" s="1">
        <v>43381.526967592596</v>
      </c>
      <c r="C104" s="2">
        <v>17.899999999999999</v>
      </c>
      <c r="D104" s="2">
        <v>17.899999999999999</v>
      </c>
      <c r="E104" s="2">
        <v>17.8</v>
      </c>
      <c r="F104" s="3">
        <v>0.68700000000000006</v>
      </c>
      <c r="G104" s="3">
        <v>0.67200000000000004</v>
      </c>
      <c r="H104" s="3">
        <v>0.65600000000000003</v>
      </c>
      <c r="I104" s="2">
        <f t="shared" si="7"/>
        <v>50.475909049234581</v>
      </c>
      <c r="J104" s="4">
        <f t="shared" si="4"/>
        <v>0.43327556325823224</v>
      </c>
      <c r="K104" s="4">
        <f t="shared" si="5"/>
        <v>0.59844404548174746</v>
      </c>
      <c r="L104" s="4">
        <f t="shared" si="6"/>
        <v>0.51255766273705794</v>
      </c>
      <c r="M104" s="2">
        <v>2308</v>
      </c>
      <c r="N104" s="2">
        <v>1671</v>
      </c>
      <c r="O104" s="2">
        <v>1951</v>
      </c>
    </row>
    <row r="105" spans="1:15">
      <c r="A105" t="s">
        <v>104</v>
      </c>
      <c r="B105" s="1">
        <v>43381.535763888889</v>
      </c>
      <c r="C105" s="2">
        <v>17.899999999999999</v>
      </c>
      <c r="D105" s="2">
        <v>17.899999999999999</v>
      </c>
      <c r="E105" s="2">
        <v>17.8</v>
      </c>
      <c r="F105" s="3">
        <v>0.68700000000000006</v>
      </c>
      <c r="G105" s="3">
        <v>0.67200000000000004</v>
      </c>
      <c r="H105" s="3">
        <v>0.65500000000000003</v>
      </c>
      <c r="I105" s="2">
        <f t="shared" si="7"/>
        <v>48.2981736885367</v>
      </c>
      <c r="J105" s="4">
        <f t="shared" si="4"/>
        <v>0.41476565740356697</v>
      </c>
      <c r="K105" s="4">
        <f t="shared" si="5"/>
        <v>0.5780346820809249</v>
      </c>
      <c r="L105" s="4">
        <f t="shared" si="6"/>
        <v>0.48614487117160915</v>
      </c>
      <c r="M105" s="2">
        <v>2411</v>
      </c>
      <c r="N105" s="2">
        <v>1730</v>
      </c>
      <c r="O105" s="2">
        <v>2057</v>
      </c>
    </row>
    <row r="106" spans="1:15">
      <c r="A106" t="s">
        <v>105</v>
      </c>
      <c r="B106" s="1">
        <v>43381.544907407406</v>
      </c>
      <c r="C106" s="2">
        <v>17.899999999999999</v>
      </c>
      <c r="D106" s="2">
        <v>17.899999999999999</v>
      </c>
      <c r="E106" s="2">
        <v>17.8</v>
      </c>
      <c r="F106" s="3">
        <v>0.68700000000000006</v>
      </c>
      <c r="G106" s="3">
        <v>0.67100000000000004</v>
      </c>
      <c r="H106" s="3">
        <v>0.65500000000000003</v>
      </c>
      <c r="I106" s="2">
        <f t="shared" si="7"/>
        <v>51.250286535023918</v>
      </c>
      <c r="J106" s="4">
        <f t="shared" si="4"/>
        <v>0.44702726866338849</v>
      </c>
      <c r="K106" s="4">
        <f t="shared" si="5"/>
        <v>0.6097560975609756</v>
      </c>
      <c r="L106" s="4">
        <f t="shared" si="6"/>
        <v>0.51072522982635338</v>
      </c>
      <c r="M106" s="2">
        <v>2237</v>
      </c>
      <c r="N106" s="2">
        <v>1640</v>
      </c>
      <c r="O106" s="2">
        <v>1958</v>
      </c>
    </row>
    <row r="107" spans="1:15">
      <c r="A107" t="s">
        <v>106</v>
      </c>
      <c r="B107" s="1">
        <v>43381.553715277776</v>
      </c>
      <c r="C107" s="2">
        <v>17.899999999999999</v>
      </c>
      <c r="D107" s="2">
        <v>17.899999999999999</v>
      </c>
      <c r="E107" s="2">
        <v>17.8</v>
      </c>
      <c r="F107" s="3">
        <v>0.68500000000000005</v>
      </c>
      <c r="G107" s="3">
        <v>0.67</v>
      </c>
      <c r="H107" s="3">
        <v>0.65300000000000002</v>
      </c>
      <c r="I107" s="2">
        <f t="shared" si="7"/>
        <v>41.454513132010156</v>
      </c>
      <c r="J107" s="4">
        <f t="shared" si="4"/>
        <v>0.36350418029807341</v>
      </c>
      <c r="K107" s="4">
        <f t="shared" si="5"/>
        <v>0.49776007964161273</v>
      </c>
      <c r="L107" s="4">
        <f t="shared" si="6"/>
        <v>0.41237113402061853</v>
      </c>
      <c r="M107" s="2">
        <v>2751</v>
      </c>
      <c r="N107" s="2">
        <v>2009</v>
      </c>
      <c r="O107" s="2">
        <v>2425</v>
      </c>
    </row>
    <row r="108" spans="1:15">
      <c r="A108" t="s">
        <v>107</v>
      </c>
      <c r="B108" s="1">
        <v>43381.562534722223</v>
      </c>
      <c r="C108" s="2">
        <v>17.899999999999999</v>
      </c>
      <c r="D108" s="2">
        <v>17.899999999999999</v>
      </c>
      <c r="E108" s="2">
        <v>17.8</v>
      </c>
      <c r="F108" s="3">
        <v>0.68400000000000005</v>
      </c>
      <c r="G108" s="3">
        <v>0.66900000000000004</v>
      </c>
      <c r="H108" s="3">
        <v>0.65300000000000002</v>
      </c>
      <c r="I108" s="2">
        <f t="shared" si="7"/>
        <v>38.853792541133039</v>
      </c>
      <c r="J108" s="4">
        <f t="shared" si="4"/>
        <v>0.34188034188034189</v>
      </c>
      <c r="K108" s="4">
        <f t="shared" si="5"/>
        <v>0.47103155911446065</v>
      </c>
      <c r="L108" s="4">
        <f t="shared" si="6"/>
        <v>0.38270187523918869</v>
      </c>
      <c r="M108" s="2">
        <v>2925</v>
      </c>
      <c r="N108" s="2">
        <v>2123</v>
      </c>
      <c r="O108" s="2">
        <v>2613</v>
      </c>
    </row>
    <row r="109" spans="1:15">
      <c r="A109" t="s">
        <v>108</v>
      </c>
      <c r="B109" s="1">
        <v>43381.571342592593</v>
      </c>
      <c r="C109" s="2">
        <v>17.899999999999999</v>
      </c>
      <c r="D109" s="2">
        <v>17.899999999999999</v>
      </c>
      <c r="E109" s="2">
        <v>17.8</v>
      </c>
      <c r="F109" s="3">
        <v>0.68400000000000005</v>
      </c>
      <c r="G109" s="3">
        <v>0.66900000000000004</v>
      </c>
      <c r="H109" s="3">
        <v>0.65300000000000002</v>
      </c>
      <c r="I109" s="2">
        <f t="shared" si="7"/>
        <v>42.882532904326879</v>
      </c>
      <c r="J109" s="4">
        <f t="shared" si="4"/>
        <v>0.3711952487008166</v>
      </c>
      <c r="K109" s="4">
        <f t="shared" si="5"/>
        <v>0.52029136316337143</v>
      </c>
      <c r="L109" s="4">
        <f t="shared" si="6"/>
        <v>0.42498937526561836</v>
      </c>
      <c r="M109" s="2">
        <v>2694</v>
      </c>
      <c r="N109" s="2">
        <v>1922</v>
      </c>
      <c r="O109" s="2">
        <v>2353</v>
      </c>
    </row>
    <row r="110" spans="1:15">
      <c r="A110" t="s">
        <v>109</v>
      </c>
      <c r="B110" s="1">
        <v>43381.580138888887</v>
      </c>
      <c r="C110" s="2">
        <v>17.899999999999999</v>
      </c>
      <c r="D110" s="2">
        <v>17.899999999999999</v>
      </c>
      <c r="E110" s="2">
        <v>17.8</v>
      </c>
      <c r="F110" s="3">
        <v>0.68300000000000005</v>
      </c>
      <c r="G110" s="3">
        <v>0.66800000000000004</v>
      </c>
      <c r="H110" s="3">
        <v>0.65100000000000002</v>
      </c>
      <c r="I110" s="2">
        <f t="shared" si="7"/>
        <v>38.507495911335596</v>
      </c>
      <c r="J110" s="4">
        <f t="shared" si="4"/>
        <v>0.33333333333333331</v>
      </c>
      <c r="K110" s="4">
        <f t="shared" si="5"/>
        <v>0.46904315196998125</v>
      </c>
      <c r="L110" s="4">
        <f t="shared" si="6"/>
        <v>0.38284839203675347</v>
      </c>
      <c r="M110" s="2">
        <v>3000</v>
      </c>
      <c r="N110" s="2">
        <v>2132</v>
      </c>
      <c r="O110" s="2">
        <v>2612</v>
      </c>
    </row>
    <row r="111" spans="1:15">
      <c r="A111" t="s">
        <v>110</v>
      </c>
      <c r="B111" s="1">
        <v>43381.588969907411</v>
      </c>
      <c r="C111" s="2">
        <v>17.8</v>
      </c>
      <c r="D111" s="2">
        <v>17.899999999999999</v>
      </c>
      <c r="E111" s="2">
        <v>17.8</v>
      </c>
      <c r="F111" s="3">
        <v>0.68300000000000005</v>
      </c>
      <c r="G111" s="3">
        <v>0.66700000000000004</v>
      </c>
      <c r="H111" s="3">
        <v>0.65100000000000002</v>
      </c>
      <c r="I111" s="2">
        <f t="shared" si="7"/>
        <v>51.406576810797908</v>
      </c>
      <c r="J111" s="4">
        <f t="shared" si="4"/>
        <v>0.44365572315882873</v>
      </c>
      <c r="K111" s="4">
        <f t="shared" si="5"/>
        <v>0.61387354205033762</v>
      </c>
      <c r="L111" s="4">
        <f t="shared" si="6"/>
        <v>0.51466803911477099</v>
      </c>
      <c r="M111" s="2">
        <v>2254</v>
      </c>
      <c r="N111" s="2">
        <v>1629</v>
      </c>
      <c r="O111" s="2">
        <v>1943</v>
      </c>
    </row>
    <row r="112" spans="1:15">
      <c r="A112" t="s">
        <v>111</v>
      </c>
      <c r="B112" s="1">
        <v>43381.597766203704</v>
      </c>
      <c r="C112" s="2">
        <v>17.899999999999999</v>
      </c>
      <c r="D112" s="2">
        <v>17.899999999999999</v>
      </c>
      <c r="E112" s="2">
        <v>17.8</v>
      </c>
      <c r="F112" s="3">
        <v>0.68300000000000005</v>
      </c>
      <c r="G112" s="3">
        <v>0.66800000000000004</v>
      </c>
      <c r="H112" s="3">
        <v>0.65200000000000002</v>
      </c>
      <c r="I112" s="2">
        <f t="shared" si="7"/>
        <v>51.886148743681794</v>
      </c>
      <c r="J112" s="4">
        <f t="shared" si="4"/>
        <v>0.44682752457551383</v>
      </c>
      <c r="K112" s="4">
        <f t="shared" si="5"/>
        <v>0.62189054726368154</v>
      </c>
      <c r="L112" s="4">
        <f t="shared" si="6"/>
        <v>0.51786639047125838</v>
      </c>
      <c r="M112" s="2">
        <v>2238</v>
      </c>
      <c r="N112" s="2">
        <v>1608</v>
      </c>
      <c r="O112" s="2">
        <v>1931</v>
      </c>
    </row>
    <row r="113" spans="1:15">
      <c r="A113" t="s">
        <v>112</v>
      </c>
      <c r="B113" s="1">
        <v>43381.60659722222</v>
      </c>
      <c r="C113" s="2">
        <v>17.899999999999999</v>
      </c>
      <c r="D113" s="2">
        <v>17.899999999999999</v>
      </c>
      <c r="E113" s="2">
        <v>17.8</v>
      </c>
      <c r="F113" s="3">
        <v>0.68799999999999994</v>
      </c>
      <c r="G113" s="3">
        <v>0.67300000000000004</v>
      </c>
      <c r="H113" s="3">
        <v>0.65600000000000003</v>
      </c>
      <c r="I113" s="2">
        <f t="shared" si="7"/>
        <v>50.688851929375545</v>
      </c>
      <c r="J113" s="4">
        <f t="shared" si="4"/>
        <v>0.45641259698767683</v>
      </c>
      <c r="K113" s="4">
        <f t="shared" si="5"/>
        <v>0.5977286312014346</v>
      </c>
      <c r="L113" s="4">
        <f t="shared" si="6"/>
        <v>0.49652432969215493</v>
      </c>
      <c r="M113" s="2">
        <v>2191</v>
      </c>
      <c r="N113" s="2">
        <v>1673</v>
      </c>
      <c r="O113" s="2">
        <v>2014</v>
      </c>
    </row>
    <row r="114" spans="1:15">
      <c r="A114" t="s">
        <v>113</v>
      </c>
      <c r="B114" s="1">
        <v>43381.615393518521</v>
      </c>
      <c r="C114" s="2">
        <v>17.899999999999999</v>
      </c>
      <c r="D114" s="2">
        <v>17.899999999999999</v>
      </c>
      <c r="E114" s="2">
        <v>17.8</v>
      </c>
      <c r="F114" s="3">
        <v>0.69099999999999995</v>
      </c>
      <c r="G114" s="3">
        <v>0.67600000000000005</v>
      </c>
      <c r="H114" s="3">
        <v>0.66100000000000003</v>
      </c>
      <c r="I114" s="2">
        <f t="shared" si="7"/>
        <v>44.792466028741458</v>
      </c>
      <c r="J114" s="4">
        <f t="shared" si="4"/>
        <v>0.38955979742890534</v>
      </c>
      <c r="K114" s="4">
        <f t="shared" si="5"/>
        <v>0.53937432578209277</v>
      </c>
      <c r="L114" s="4">
        <f t="shared" si="6"/>
        <v>0.44483985765124556</v>
      </c>
      <c r="M114" s="2">
        <v>2567</v>
      </c>
      <c r="N114" s="2">
        <v>1854</v>
      </c>
      <c r="O114" s="2">
        <v>2248</v>
      </c>
    </row>
    <row r="115" spans="1:15">
      <c r="A115" t="s">
        <v>114</v>
      </c>
      <c r="B115" s="1">
        <v>43381.624224537038</v>
      </c>
      <c r="C115" s="2">
        <v>17.899999999999999</v>
      </c>
      <c r="D115" s="2">
        <v>17.899999999999999</v>
      </c>
      <c r="E115" s="2">
        <v>17.8</v>
      </c>
      <c r="F115" s="3">
        <v>0.69799999999999995</v>
      </c>
      <c r="G115" s="3">
        <v>0.68300000000000005</v>
      </c>
      <c r="H115" s="3">
        <v>0.66700000000000004</v>
      </c>
      <c r="I115" s="2">
        <f t="shared" si="7"/>
        <v>42.493847647052249</v>
      </c>
      <c r="J115" s="4">
        <f t="shared" si="4"/>
        <v>0.36941263391207979</v>
      </c>
      <c r="K115" s="4">
        <f t="shared" si="5"/>
        <v>0.51203277009728621</v>
      </c>
      <c r="L115" s="4">
        <f t="shared" si="6"/>
        <v>0.42337002540220153</v>
      </c>
      <c r="M115" s="2">
        <v>2707</v>
      </c>
      <c r="N115" s="2">
        <v>1953</v>
      </c>
      <c r="O115" s="2">
        <v>2362</v>
      </c>
    </row>
    <row r="116" spans="1:15">
      <c r="A116" t="s">
        <v>115</v>
      </c>
      <c r="B116" s="1">
        <v>43381.633032407408</v>
      </c>
      <c r="C116" s="2">
        <v>17.899999999999999</v>
      </c>
      <c r="D116" s="2">
        <v>17.899999999999999</v>
      </c>
      <c r="E116" s="2">
        <v>17.8</v>
      </c>
      <c r="F116" s="3">
        <v>0.70599999999999996</v>
      </c>
      <c r="G116" s="3">
        <v>0.69099999999999995</v>
      </c>
      <c r="H116" s="3">
        <v>0.67600000000000005</v>
      </c>
      <c r="I116" s="2">
        <f t="shared" si="7"/>
        <v>34.228211462121777</v>
      </c>
      <c r="J116" s="4">
        <f t="shared" si="4"/>
        <v>0.30165912518853694</v>
      </c>
      <c r="K116" s="4">
        <f t="shared" si="5"/>
        <v>0.41528239202657807</v>
      </c>
      <c r="L116" s="4">
        <f t="shared" si="6"/>
        <v>0.33990482664853838</v>
      </c>
      <c r="M116" s="2">
        <v>3315</v>
      </c>
      <c r="N116" s="2">
        <v>2408</v>
      </c>
      <c r="O116" s="2">
        <v>2942</v>
      </c>
    </row>
    <row r="117" spans="1:15">
      <c r="A117" t="s">
        <v>116</v>
      </c>
      <c r="B117" s="1">
        <v>43381.641828703701</v>
      </c>
      <c r="C117" s="2">
        <v>17.8</v>
      </c>
      <c r="D117" s="2">
        <v>17.899999999999999</v>
      </c>
      <c r="E117" s="2">
        <v>17.8</v>
      </c>
      <c r="F117" s="3">
        <v>0.71299999999999997</v>
      </c>
      <c r="G117" s="3">
        <v>0.69799999999999995</v>
      </c>
      <c r="H117" s="3">
        <v>0.68300000000000005</v>
      </c>
      <c r="I117" s="2">
        <f t="shared" si="7"/>
        <v>33.962322699367142</v>
      </c>
      <c r="J117" s="4">
        <f t="shared" si="4"/>
        <v>0.29967036260113877</v>
      </c>
      <c r="K117" s="4">
        <f t="shared" si="5"/>
        <v>0.41407867494824019</v>
      </c>
      <c r="L117" s="4">
        <f t="shared" si="6"/>
        <v>0.33512064343163539</v>
      </c>
      <c r="M117" s="2">
        <v>3337</v>
      </c>
      <c r="N117" s="2">
        <v>2415</v>
      </c>
      <c r="O117" s="2">
        <v>2984</v>
      </c>
    </row>
    <row r="118" spans="1:15">
      <c r="A118" t="s">
        <v>117</v>
      </c>
      <c r="B118" s="1">
        <v>43381.650625000002</v>
      </c>
      <c r="C118" s="2">
        <v>17.899999999999999</v>
      </c>
      <c r="D118" s="2">
        <v>17.899999999999999</v>
      </c>
      <c r="E118" s="2">
        <v>17.8</v>
      </c>
      <c r="F118" s="3">
        <v>0.71499999999999997</v>
      </c>
      <c r="G118" s="3">
        <v>0.7</v>
      </c>
      <c r="H118" s="3">
        <v>0.68500000000000005</v>
      </c>
      <c r="I118" s="2">
        <f t="shared" si="7"/>
        <v>37.018273444889935</v>
      </c>
      <c r="J118" s="4">
        <f t="shared" si="4"/>
        <v>0.3313452617627568</v>
      </c>
      <c r="K118" s="4">
        <f t="shared" si="5"/>
        <v>0.44543429844097998</v>
      </c>
      <c r="L118" s="4">
        <f t="shared" si="6"/>
        <v>0.36376864314296109</v>
      </c>
      <c r="M118" s="2">
        <v>3018</v>
      </c>
      <c r="N118" s="2">
        <v>2245</v>
      </c>
      <c r="O118" s="2">
        <v>2749</v>
      </c>
    </row>
    <row r="119" spans="1:15">
      <c r="A119" t="s">
        <v>118</v>
      </c>
      <c r="B119" s="1">
        <v>43381.659421296295</v>
      </c>
      <c r="C119" s="2">
        <v>17.899999999999999</v>
      </c>
      <c r="D119" s="2">
        <v>17.899999999999999</v>
      </c>
      <c r="E119" s="2">
        <v>17.8</v>
      </c>
      <c r="F119" s="3">
        <v>0.70199999999999996</v>
      </c>
      <c r="G119" s="3">
        <v>0.70099999999999996</v>
      </c>
      <c r="H119" s="3">
        <v>0.67700000000000005</v>
      </c>
      <c r="I119" s="2">
        <f t="shared" si="7"/>
        <v>33.462184968214245</v>
      </c>
      <c r="J119" s="4">
        <f t="shared" si="4"/>
        <v>0.34211426616489909</v>
      </c>
      <c r="K119" s="4">
        <f t="shared" si="5"/>
        <v>0.39261876717707106</v>
      </c>
      <c r="L119" s="4">
        <f t="shared" si="6"/>
        <v>0.29913251570445709</v>
      </c>
      <c r="M119" s="2">
        <v>2923</v>
      </c>
      <c r="N119" s="2">
        <v>2547</v>
      </c>
      <c r="O119" s="2">
        <v>3343</v>
      </c>
    </row>
    <row r="120" spans="1:15">
      <c r="A120" t="s">
        <v>119</v>
      </c>
      <c r="B120" s="1">
        <v>43381.668229166666</v>
      </c>
      <c r="C120" s="2">
        <v>17.899999999999999</v>
      </c>
      <c r="D120" s="2">
        <v>17.899999999999999</v>
      </c>
      <c r="E120" s="2">
        <v>17.8</v>
      </c>
      <c r="F120" s="3">
        <v>0.69499999999999995</v>
      </c>
      <c r="G120" s="3">
        <v>0.69499999999999995</v>
      </c>
      <c r="H120" s="3">
        <v>0.66500000000000004</v>
      </c>
      <c r="I120" s="2">
        <f t="shared" si="7"/>
        <v>37.884051553980939</v>
      </c>
      <c r="J120" s="4">
        <f t="shared" si="4"/>
        <v>0.34164673727365902</v>
      </c>
      <c r="K120" s="4">
        <f t="shared" si="5"/>
        <v>0.44964028776978415</v>
      </c>
      <c r="L120" s="4">
        <f t="shared" si="6"/>
        <v>0.37523452157598497</v>
      </c>
      <c r="M120" s="2">
        <v>2927</v>
      </c>
      <c r="N120" s="2">
        <v>2224</v>
      </c>
      <c r="O120" s="2">
        <v>2665</v>
      </c>
    </row>
    <row r="121" spans="1:15">
      <c r="A121" t="s">
        <v>120</v>
      </c>
      <c r="B121" s="1">
        <v>43381.677025462966</v>
      </c>
      <c r="C121" s="2">
        <v>17.8</v>
      </c>
      <c r="D121" s="2">
        <v>17.8</v>
      </c>
      <c r="E121" s="2">
        <v>17.7</v>
      </c>
      <c r="F121" s="3">
        <v>0.65800000000000003</v>
      </c>
      <c r="G121" s="3">
        <v>0.65200000000000002</v>
      </c>
      <c r="H121" s="3">
        <v>0.63600000000000001</v>
      </c>
      <c r="I121" s="2">
        <f t="shared" si="7"/>
        <v>39.49206275290976</v>
      </c>
      <c r="J121" s="4">
        <f t="shared" si="4"/>
        <v>0.35549235691432635</v>
      </c>
      <c r="K121" s="4">
        <f t="shared" si="5"/>
        <v>0.46772684752104771</v>
      </c>
      <c r="L121" s="4">
        <f t="shared" si="6"/>
        <v>0.39154267815191857</v>
      </c>
      <c r="M121" s="2">
        <v>2813</v>
      </c>
      <c r="N121" s="2">
        <v>2138</v>
      </c>
      <c r="O121" s="2">
        <v>2554</v>
      </c>
    </row>
    <row r="122" spans="1:15">
      <c r="A122" t="s">
        <v>121</v>
      </c>
      <c r="B122" s="1">
        <v>43381.68582175926</v>
      </c>
      <c r="C122" s="2">
        <v>17.8</v>
      </c>
      <c r="D122" s="2">
        <v>17.8</v>
      </c>
      <c r="E122" s="2">
        <v>17.7</v>
      </c>
      <c r="F122" s="3">
        <v>0.66500000000000004</v>
      </c>
      <c r="G122" s="3">
        <v>0.65200000000000002</v>
      </c>
      <c r="H122" s="3">
        <v>0.63600000000000001</v>
      </c>
      <c r="I122" s="2">
        <f t="shared" si="7"/>
        <v>32.392320734309408</v>
      </c>
      <c r="J122" s="4">
        <f t="shared" si="4"/>
        <v>0.29437739181630851</v>
      </c>
      <c r="K122" s="4">
        <f t="shared" si="5"/>
        <v>0.38759689922480622</v>
      </c>
      <c r="L122" s="4">
        <f t="shared" si="6"/>
        <v>0.31979533098816759</v>
      </c>
      <c r="M122" s="2">
        <v>3397</v>
      </c>
      <c r="N122" s="2">
        <v>2580</v>
      </c>
      <c r="O122" s="2">
        <v>3127</v>
      </c>
    </row>
    <row r="123" spans="1:15">
      <c r="A123" t="s">
        <v>122</v>
      </c>
      <c r="B123" s="1">
        <v>43381.69462962963</v>
      </c>
      <c r="C123" s="2">
        <v>17.7</v>
      </c>
      <c r="D123" s="2">
        <v>17.8</v>
      </c>
      <c r="E123" s="2">
        <v>17.7</v>
      </c>
      <c r="F123" s="3">
        <v>0.66700000000000004</v>
      </c>
      <c r="G123" s="3">
        <v>0.65300000000000002</v>
      </c>
      <c r="H123" s="3">
        <v>0.63500000000000001</v>
      </c>
      <c r="I123" s="2">
        <f t="shared" si="7"/>
        <v>21.329919835227237</v>
      </c>
      <c r="J123" s="4">
        <f t="shared" si="4"/>
        <v>0.1987281399046105</v>
      </c>
      <c r="K123" s="4">
        <f t="shared" si="5"/>
        <v>0.26511134676564158</v>
      </c>
      <c r="L123" s="4">
        <f t="shared" si="6"/>
        <v>0.20605810838656502</v>
      </c>
      <c r="M123" s="2">
        <v>5032</v>
      </c>
      <c r="N123" s="2">
        <v>3772</v>
      </c>
      <c r="O123" s="2">
        <v>4853</v>
      </c>
    </row>
    <row r="124" spans="1:15">
      <c r="A124" t="s">
        <v>123</v>
      </c>
      <c r="B124" t="s">
        <v>123</v>
      </c>
      <c r="C124" s="2"/>
      <c r="D124" s="2"/>
      <c r="E124" s="2"/>
      <c r="F124" s="3"/>
      <c r="G124" s="3"/>
      <c r="H124" s="3"/>
      <c r="I124" s="2"/>
      <c r="J124" s="2"/>
      <c r="K124" s="2"/>
    </row>
  </sheetData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2018-10-08T11:26:51Z</dcterms:modified>
</cp:coreProperties>
</file>